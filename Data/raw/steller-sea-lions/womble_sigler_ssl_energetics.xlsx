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0" yWindow="0" windowWidth="44140" windowHeight="23540" tabRatio="500"/>
  </bookViews>
  <sheets>
    <sheet name="Sheet1" sheetId="1" r:id="rId1"/>
  </sheet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H3" i="1" l="1"/>
  <c r="E3" i="1"/>
  <c r="G3" i="1"/>
  <c r="J3" i="1"/>
  <c r="I3"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O3" i="1"/>
  <c r="O5" i="1"/>
  <c r="O11" i="1"/>
  <c r="O12" i="1"/>
  <c r="O10" i="1"/>
  <c r="P9" i="1"/>
  <c r="O9"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I36" i="1"/>
  <c r="J36" i="1"/>
  <c r="I35" i="1"/>
  <c r="J35" i="1"/>
  <c r="I34" i="1"/>
  <c r="J34" i="1"/>
  <c r="I33" i="1"/>
  <c r="J33" i="1"/>
  <c r="I32" i="1"/>
  <c r="J32" i="1"/>
  <c r="I31" i="1"/>
  <c r="J31" i="1"/>
  <c r="I30" i="1"/>
  <c r="J30" i="1"/>
  <c r="I29" i="1"/>
  <c r="J29" i="1"/>
  <c r="I28" i="1"/>
  <c r="J28" i="1"/>
  <c r="I27" i="1"/>
  <c r="J27" i="1"/>
  <c r="I26" i="1"/>
  <c r="J26" i="1"/>
  <c r="I25" i="1"/>
  <c r="J25" i="1"/>
  <c r="I24" i="1"/>
  <c r="J24" i="1"/>
  <c r="I23" i="1"/>
  <c r="J23" i="1"/>
  <c r="I22" i="1"/>
  <c r="J22" i="1"/>
  <c r="I21" i="1"/>
  <c r="J21" i="1"/>
  <c r="I20" i="1"/>
  <c r="J20" i="1"/>
  <c r="I19" i="1"/>
  <c r="J19" i="1"/>
  <c r="I18" i="1"/>
  <c r="J18" i="1"/>
  <c r="I17" i="1"/>
  <c r="J17" i="1"/>
  <c r="I16" i="1"/>
  <c r="J16" i="1"/>
  <c r="I15" i="1"/>
  <c r="J15" i="1"/>
  <c r="I14" i="1"/>
  <c r="J14" i="1"/>
  <c r="I13" i="1"/>
  <c r="J13" i="1"/>
  <c r="I12" i="1"/>
  <c r="J12" i="1"/>
  <c r="I11" i="1"/>
  <c r="J11" i="1"/>
  <c r="I10" i="1"/>
  <c r="J10" i="1"/>
  <c r="I9" i="1"/>
  <c r="J9" i="1"/>
  <c r="I8" i="1"/>
  <c r="J8" i="1"/>
  <c r="I7" i="1"/>
  <c r="J7" i="1"/>
  <c r="I6" i="1"/>
  <c r="J6" i="1"/>
  <c r="I5" i="1"/>
  <c r="J5" i="1"/>
  <c r="I4" i="1"/>
  <c r="J4" i="1"/>
</calcChain>
</file>

<file path=xl/sharedStrings.xml><?xml version="1.0" encoding="utf-8"?>
<sst xmlns="http://schemas.openxmlformats.org/spreadsheetml/2006/main" count="28" uniqueCount="27">
  <si>
    <t>herring_tons</t>
  </si>
  <si>
    <t>terajouls</t>
  </si>
  <si>
    <t>Tjperton</t>
  </si>
  <si>
    <t>year</t>
  </si>
  <si>
    <t>Daily Ration for SSL</t>
  </si>
  <si>
    <t>~25% herring</t>
  </si>
  <si>
    <t>kj per ton</t>
  </si>
  <si>
    <t>kj</t>
  </si>
  <si>
    <t>kj per day</t>
  </si>
  <si>
    <t>calories per day</t>
  </si>
  <si>
    <t>To estmate sea lion demand we take need in kj or calories per day, then multiply it times .25 for their percent of their diet that's herring, then multiply that times the number of days the sea lions are there</t>
  </si>
  <si>
    <t>To estimate the herring biomass available, we can only do eggs. Sea lions eat adults  alternatively If we knew how spawn area was translated to tons for the surveys that could help. We can also do herring in tons from the fishery to show compeititoni s</t>
  </si>
  <si>
    <t>ave her tj per ton</t>
  </si>
  <si>
    <t xml:space="preserve">6 tons  is  1000 daily rashions </t>
  </si>
  <si>
    <t>1 ton is 4184000 kj</t>
  </si>
  <si>
    <t>1 kj = 239.005736 cals</t>
  </si>
  <si>
    <t>1 ton is 166 rations  if ate all herring</t>
  </si>
  <si>
    <t xml:space="preserve">664 per day if 25% of SSL diet herring </t>
  </si>
  <si>
    <t>dailySSL ration in thousands</t>
  </si>
  <si>
    <t>calories</t>
  </si>
  <si>
    <t>daily rations</t>
  </si>
  <si>
    <t>ca sea lion eats ~ 10kg per day</t>
  </si>
  <si>
    <t>6/1000</t>
  </si>
  <si>
    <t>24kg per day</t>
  </si>
  <si>
    <t>6kg herring</t>
  </si>
  <si>
    <t>spawn habitat index</t>
  </si>
  <si>
    <t xml:space="preserve">The index is calculated by the sum of the product of each measured spawn "shoreline length" and the median of the product of spawn width and egg layers adjusted by percent cover and pooled geographically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</si>
</sst>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family val="2"/>
      <scheme val="minor"/>
    </font>
    <font>
      <u/>
      <sz val="12"/>
      <color theme="10"/>
      <name val="Calibri"/>
      <family val="2"/>
      <scheme val="minor"/>
    </font>
    <font>
      <u/>
      <sz val="12"/>
      <color theme="11"/>
      <name val="Calibri"/>
      <family val="2"/>
      <scheme val="minor"/>
    </font>
    <font>
      <sz val="10"/>
      <color theme="1"/>
      <name val="ArialMT"/>
    </font>
  </fonts>
  <fills count="2">
    <fill>
      <patternFill patternType="none"/>
    </fill>
    <fill>
      <patternFill patternType="gray125"/>
    </fill>
  </fills>
  <borders count="1">
    <border>
      <left/>
      <right/>
      <top/>
      <bottom/>
      <diagonal/>
    </border>
  </borders>
  <cellStyleXfs count="47">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3">
    <xf numFmtId="0" fontId="0" fillId="0" borderId="0" xfId="0"/>
    <xf numFmtId="0" fontId="0" fillId="0" borderId="0" xfId="0" applyNumberFormat="1" applyAlignment="1">
      <alignment wrapText="1"/>
    </xf>
    <xf numFmtId="0" fontId="3" fillId="0" borderId="0" xfId="0" applyFont="1"/>
  </cellXfs>
  <cellStyles count="4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S38"/>
  <sheetViews>
    <sheetView tabSelected="1" topLeftCell="K1" workbookViewId="0">
      <selection activeCell="L7" sqref="L7"/>
    </sheetView>
  </sheetViews>
  <sheetFormatPr baseColWidth="10" defaultRowHeight="15" x14ac:dyDescent="0"/>
  <cols>
    <col min="4" max="5" width="25.5" customWidth="1"/>
    <col min="6" max="6" width="14" bestFit="1" customWidth="1"/>
    <col min="7" max="8" width="14" customWidth="1"/>
    <col min="11" max="11" width="17" bestFit="1" customWidth="1"/>
    <col min="14" max="14" width="22.83203125" bestFit="1" customWidth="1"/>
    <col min="15" max="15" width="11.1640625" bestFit="1" customWidth="1"/>
    <col min="19" max="19" width="52.83203125" customWidth="1"/>
  </cols>
  <sheetData>
    <row r="2" spans="1:19">
      <c r="A2" t="s">
        <v>3</v>
      </c>
      <c r="B2" t="s">
        <v>0</v>
      </c>
      <c r="C2" t="s">
        <v>1</v>
      </c>
      <c r="D2" t="s">
        <v>7</v>
      </c>
      <c r="E2" t="s">
        <v>19</v>
      </c>
      <c r="F2" t="s">
        <v>18</v>
      </c>
      <c r="G2" t="s">
        <v>20</v>
      </c>
      <c r="I2" t="s">
        <v>2</v>
      </c>
      <c r="J2" t="s">
        <v>6</v>
      </c>
      <c r="N2" t="s">
        <v>4</v>
      </c>
      <c r="O2">
        <v>79464</v>
      </c>
      <c r="P2" t="s">
        <v>8</v>
      </c>
    </row>
    <row r="3" spans="1:19" ht="75">
      <c r="A3">
        <v>2001</v>
      </c>
      <c r="B3">
        <v>6</v>
      </c>
      <c r="C3">
        <v>0.1</v>
      </c>
      <c r="D3">
        <f>C3*1000000000</f>
        <v>100000000</v>
      </c>
      <c r="E3">
        <f>D3*239.005736</f>
        <v>23900573600</v>
      </c>
      <c r="F3">
        <v>1</v>
      </c>
      <c r="G3">
        <f>F3*1000</f>
        <v>1000</v>
      </c>
      <c r="H3">
        <f>E3/G3</f>
        <v>23900573.600000001</v>
      </c>
      <c r="I3">
        <f>C3/B3</f>
        <v>1.6666666666666666E-2</v>
      </c>
      <c r="J3">
        <f>I3*1000000000</f>
        <v>16666666.666666666</v>
      </c>
      <c r="O3">
        <f>O2*239.005736</f>
        <v>18992351.805504002</v>
      </c>
      <c r="P3" t="s">
        <v>9</v>
      </c>
      <c r="S3" s="1" t="s">
        <v>11</v>
      </c>
    </row>
    <row r="4" spans="1:19" ht="60">
      <c r="A4">
        <v>2001</v>
      </c>
      <c r="B4">
        <v>406</v>
      </c>
      <c r="C4">
        <v>3.7</v>
      </c>
      <c r="D4">
        <f t="shared" ref="D4:D36" si="0">C4*1000000000</f>
        <v>3700000000</v>
      </c>
      <c r="E4">
        <f t="shared" ref="E4:E36" si="1">D4*239.005736</f>
        <v>884321223200</v>
      </c>
      <c r="F4">
        <v>46</v>
      </c>
      <c r="G4">
        <f t="shared" ref="G4:G36" si="2">F4*1000</f>
        <v>46000</v>
      </c>
      <c r="I4">
        <f t="shared" ref="I4:I36" si="3">C4/B4</f>
        <v>9.1133004926108371E-3</v>
      </c>
      <c r="J4">
        <f t="shared" ref="J4:J36" si="4">I4*1000000000</f>
        <v>9113300.4926108364</v>
      </c>
      <c r="O4" t="s">
        <v>5</v>
      </c>
      <c r="S4" s="1" t="s">
        <v>10</v>
      </c>
    </row>
    <row r="5" spans="1:19">
      <c r="A5">
        <v>2001</v>
      </c>
      <c r="B5">
        <v>994</v>
      </c>
      <c r="C5">
        <v>9</v>
      </c>
      <c r="D5">
        <f t="shared" si="0"/>
        <v>9000000000</v>
      </c>
      <c r="E5">
        <f t="shared" si="1"/>
        <v>2151051624000</v>
      </c>
      <c r="F5">
        <v>113</v>
      </c>
      <c r="G5">
        <f t="shared" si="2"/>
        <v>113000</v>
      </c>
      <c r="I5">
        <f t="shared" si="3"/>
        <v>9.0543259557344068E-3</v>
      </c>
      <c r="J5">
        <f t="shared" si="4"/>
        <v>9054325.9557344075</v>
      </c>
      <c r="O5">
        <f>O3/4</f>
        <v>4748087.9513760004</v>
      </c>
    </row>
    <row r="6" spans="1:19">
      <c r="A6">
        <v>2001</v>
      </c>
      <c r="B6">
        <v>2506</v>
      </c>
      <c r="C6">
        <v>22.6</v>
      </c>
      <c r="D6">
        <f t="shared" si="0"/>
        <v>22600000000</v>
      </c>
      <c r="E6">
        <f t="shared" si="1"/>
        <v>5401529633600</v>
      </c>
      <c r="F6">
        <v>284</v>
      </c>
      <c r="G6">
        <f t="shared" si="2"/>
        <v>284000</v>
      </c>
      <c r="I6">
        <f t="shared" si="3"/>
        <v>9.0183559457302481E-3</v>
      </c>
      <c r="J6">
        <f t="shared" si="4"/>
        <v>9018355.9457302485</v>
      </c>
    </row>
    <row r="7" spans="1:19">
      <c r="A7">
        <v>2001</v>
      </c>
      <c r="B7">
        <v>716</v>
      </c>
      <c r="C7">
        <v>6.5</v>
      </c>
      <c r="D7">
        <f t="shared" si="0"/>
        <v>6500000000</v>
      </c>
      <c r="E7">
        <f t="shared" si="1"/>
        <v>1553537284000</v>
      </c>
      <c r="F7">
        <v>81</v>
      </c>
      <c r="G7">
        <f t="shared" si="2"/>
        <v>81000</v>
      </c>
      <c r="I7">
        <f t="shared" si="3"/>
        <v>9.0782122905027941E-3</v>
      </c>
      <c r="J7">
        <f t="shared" si="4"/>
        <v>9078212.2905027941</v>
      </c>
    </row>
    <row r="8" spans="1:19">
      <c r="A8">
        <v>2001</v>
      </c>
      <c r="B8">
        <v>1347</v>
      </c>
      <c r="C8">
        <v>11.6</v>
      </c>
      <c r="D8">
        <f t="shared" si="0"/>
        <v>11600000000</v>
      </c>
      <c r="E8">
        <f t="shared" si="1"/>
        <v>2772466537600</v>
      </c>
      <c r="F8">
        <v>146</v>
      </c>
      <c r="G8">
        <f t="shared" si="2"/>
        <v>146000</v>
      </c>
      <c r="I8">
        <f t="shared" si="3"/>
        <v>8.6117297698589459E-3</v>
      </c>
      <c r="J8">
        <f t="shared" si="4"/>
        <v>8611729.7698589452</v>
      </c>
      <c r="O8" t="s">
        <v>12</v>
      </c>
      <c r="P8" t="s">
        <v>6</v>
      </c>
    </row>
    <row r="9" spans="1:19">
      <c r="A9">
        <v>2001</v>
      </c>
      <c r="B9">
        <v>32976</v>
      </c>
      <c r="C9">
        <v>284.89999999999998</v>
      </c>
      <c r="D9">
        <f t="shared" si="0"/>
        <v>284900000000</v>
      </c>
      <c r="E9">
        <f t="shared" si="1"/>
        <v>68092734186400</v>
      </c>
      <c r="F9">
        <v>3585</v>
      </c>
      <c r="G9">
        <f t="shared" si="2"/>
        <v>3585000</v>
      </c>
      <c r="I9">
        <f t="shared" si="3"/>
        <v>8.6396166909267335E-3</v>
      </c>
      <c r="J9">
        <f t="shared" si="4"/>
        <v>8639616.6909267344</v>
      </c>
      <c r="O9">
        <f>AVERAGE(I3:I36)</f>
        <v>8.1129745875181992E-3</v>
      </c>
      <c r="P9">
        <f>O9*1000000000</f>
        <v>8112974.5875181993</v>
      </c>
    </row>
    <row r="10" spans="1:19">
      <c r="A10">
        <v>2002</v>
      </c>
      <c r="B10">
        <v>15853</v>
      </c>
      <c r="C10">
        <v>136.80000000000001</v>
      </c>
      <c r="D10">
        <f t="shared" si="0"/>
        <v>136800000000.00002</v>
      </c>
      <c r="E10">
        <f t="shared" si="1"/>
        <v>32695984684800.004</v>
      </c>
      <c r="F10">
        <v>1722</v>
      </c>
      <c r="G10">
        <f t="shared" si="2"/>
        <v>1722000</v>
      </c>
      <c r="I10">
        <f t="shared" si="3"/>
        <v>8.6292815240017664E-3</v>
      </c>
      <c r="J10">
        <f t="shared" si="4"/>
        <v>8629281.524001766</v>
      </c>
      <c r="O10">
        <f>O9*1000000000000</f>
        <v>8112974587.518199</v>
      </c>
    </row>
    <row r="11" spans="1:19">
      <c r="A11">
        <v>2002</v>
      </c>
      <c r="B11">
        <v>3367</v>
      </c>
      <c r="C11">
        <v>19.3</v>
      </c>
      <c r="D11">
        <f t="shared" si="0"/>
        <v>19300000000</v>
      </c>
      <c r="E11">
        <f t="shared" si="1"/>
        <v>4612810704800</v>
      </c>
      <c r="F11">
        <v>243</v>
      </c>
      <c r="G11">
        <f t="shared" si="2"/>
        <v>243000</v>
      </c>
      <c r="I11">
        <f t="shared" si="3"/>
        <v>5.7321057321057323E-3</v>
      </c>
      <c r="J11">
        <f t="shared" si="4"/>
        <v>5732105.732105732</v>
      </c>
      <c r="O11">
        <f>O10*0.239005736</f>
        <v>1939047462.4390836</v>
      </c>
    </row>
    <row r="12" spans="1:19">
      <c r="A12">
        <v>2002</v>
      </c>
      <c r="B12">
        <v>203</v>
      </c>
      <c r="C12">
        <v>1.2</v>
      </c>
      <c r="D12">
        <f t="shared" si="0"/>
        <v>1200000000</v>
      </c>
      <c r="E12">
        <f t="shared" si="1"/>
        <v>286806883200</v>
      </c>
      <c r="F12">
        <v>15</v>
      </c>
      <c r="G12">
        <f t="shared" si="2"/>
        <v>15000</v>
      </c>
      <c r="I12">
        <f t="shared" si="3"/>
        <v>5.9113300492610833E-3</v>
      </c>
      <c r="J12">
        <f t="shared" si="4"/>
        <v>5911330.0492610829</v>
      </c>
      <c r="O12">
        <f>O11/6</f>
        <v>323174577.07318062</v>
      </c>
    </row>
    <row r="13" spans="1:19">
      <c r="A13">
        <v>2002</v>
      </c>
      <c r="B13">
        <v>883</v>
      </c>
      <c r="C13">
        <v>5.0999999999999996</v>
      </c>
      <c r="D13">
        <f t="shared" si="0"/>
        <v>5100000000</v>
      </c>
      <c r="E13">
        <f t="shared" si="1"/>
        <v>1218929253600</v>
      </c>
      <c r="F13">
        <v>64</v>
      </c>
      <c r="G13">
        <f t="shared" si="2"/>
        <v>64000</v>
      </c>
      <c r="I13">
        <f t="shared" si="3"/>
        <v>5.7757644394110979E-3</v>
      </c>
      <c r="J13">
        <f t="shared" si="4"/>
        <v>5775764.4394110981</v>
      </c>
    </row>
    <row r="14" spans="1:19">
      <c r="A14">
        <v>2002</v>
      </c>
      <c r="B14">
        <v>139</v>
      </c>
      <c r="C14">
        <v>0.8</v>
      </c>
      <c r="D14">
        <f t="shared" si="0"/>
        <v>800000000</v>
      </c>
      <c r="E14">
        <f t="shared" si="1"/>
        <v>191204588800</v>
      </c>
      <c r="F14">
        <v>10</v>
      </c>
      <c r="G14">
        <f t="shared" si="2"/>
        <v>10000</v>
      </c>
      <c r="I14">
        <f t="shared" si="3"/>
        <v>5.7553956834532375E-3</v>
      </c>
      <c r="J14">
        <f t="shared" si="4"/>
        <v>5755395.6834532376</v>
      </c>
      <c r="M14" t="s">
        <v>22</v>
      </c>
      <c r="N14" t="s">
        <v>13</v>
      </c>
    </row>
    <row r="15" spans="1:19">
      <c r="A15">
        <v>2002</v>
      </c>
      <c r="B15">
        <v>5795</v>
      </c>
      <c r="C15">
        <v>61.4</v>
      </c>
      <c r="D15">
        <f t="shared" si="0"/>
        <v>61400000000</v>
      </c>
      <c r="E15">
        <f t="shared" si="1"/>
        <v>14674952190400</v>
      </c>
      <c r="F15">
        <v>772</v>
      </c>
      <c r="G15">
        <f t="shared" si="2"/>
        <v>772000</v>
      </c>
      <c r="I15">
        <f t="shared" si="3"/>
        <v>1.0595340811044003E-2</v>
      </c>
      <c r="J15">
        <f t="shared" si="4"/>
        <v>10595340.811044002</v>
      </c>
      <c r="N15" t="s">
        <v>16</v>
      </c>
    </row>
    <row r="16" spans="1:19">
      <c r="A16">
        <v>2002</v>
      </c>
      <c r="B16">
        <v>2129</v>
      </c>
      <c r="C16">
        <v>22.6</v>
      </c>
      <c r="D16">
        <f t="shared" si="0"/>
        <v>22600000000</v>
      </c>
      <c r="E16">
        <f t="shared" si="1"/>
        <v>5401529633600</v>
      </c>
      <c r="F16">
        <v>284</v>
      </c>
      <c r="G16">
        <f t="shared" si="2"/>
        <v>284000</v>
      </c>
      <c r="I16">
        <f t="shared" si="3"/>
        <v>1.0615312353217474E-2</v>
      </c>
      <c r="J16">
        <f t="shared" si="4"/>
        <v>10615312.353217475</v>
      </c>
      <c r="N16" t="s">
        <v>17</v>
      </c>
    </row>
    <row r="17" spans="1:14">
      <c r="A17">
        <v>2002</v>
      </c>
      <c r="B17">
        <v>1173</v>
      </c>
      <c r="C17">
        <v>12.4</v>
      </c>
      <c r="D17">
        <f t="shared" si="0"/>
        <v>12400000000</v>
      </c>
      <c r="E17">
        <f t="shared" si="1"/>
        <v>2963671126400</v>
      </c>
      <c r="F17">
        <v>156</v>
      </c>
      <c r="G17">
        <f t="shared" si="2"/>
        <v>156000</v>
      </c>
      <c r="I17">
        <f t="shared" si="3"/>
        <v>1.0571184995737426E-2</v>
      </c>
      <c r="J17">
        <f t="shared" si="4"/>
        <v>10571184.995737426</v>
      </c>
    </row>
    <row r="18" spans="1:14">
      <c r="A18">
        <v>2002</v>
      </c>
      <c r="B18">
        <v>2245</v>
      </c>
      <c r="C18">
        <v>19.5</v>
      </c>
      <c r="D18">
        <f t="shared" si="0"/>
        <v>19500000000</v>
      </c>
      <c r="E18">
        <f t="shared" si="1"/>
        <v>4660611852000</v>
      </c>
      <c r="F18">
        <v>245</v>
      </c>
      <c r="G18">
        <f t="shared" si="2"/>
        <v>245000</v>
      </c>
      <c r="I18">
        <f t="shared" si="3"/>
        <v>8.6859688195991096E-3</v>
      </c>
      <c r="J18">
        <f t="shared" si="4"/>
        <v>8685968.8195991088</v>
      </c>
    </row>
    <row r="19" spans="1:14">
      <c r="A19">
        <v>2002</v>
      </c>
      <c r="B19">
        <v>12492</v>
      </c>
      <c r="C19">
        <v>108.3</v>
      </c>
      <c r="D19">
        <f t="shared" si="0"/>
        <v>108300000000</v>
      </c>
      <c r="E19">
        <f t="shared" si="1"/>
        <v>25884321208800</v>
      </c>
      <c r="F19">
        <v>1363</v>
      </c>
      <c r="G19">
        <f t="shared" si="2"/>
        <v>1363000</v>
      </c>
      <c r="I19">
        <f t="shared" si="3"/>
        <v>8.6695485110470701E-3</v>
      </c>
      <c r="J19">
        <f t="shared" si="4"/>
        <v>8669548.5110470708</v>
      </c>
    </row>
    <row r="20" spans="1:14">
      <c r="A20">
        <v>2003</v>
      </c>
      <c r="B20">
        <v>19272</v>
      </c>
      <c r="C20">
        <v>167.1</v>
      </c>
      <c r="D20">
        <f t="shared" si="0"/>
        <v>167100000000</v>
      </c>
      <c r="E20">
        <f t="shared" si="1"/>
        <v>39937858485600</v>
      </c>
      <c r="F20">
        <v>2103</v>
      </c>
      <c r="G20">
        <f t="shared" si="2"/>
        <v>2103000</v>
      </c>
      <c r="I20">
        <f t="shared" si="3"/>
        <v>8.670610211706101E-3</v>
      </c>
      <c r="J20">
        <f t="shared" si="4"/>
        <v>8670610.2117061019</v>
      </c>
      <c r="N20" t="s">
        <v>14</v>
      </c>
    </row>
    <row r="21" spans="1:14">
      <c r="A21">
        <v>2003</v>
      </c>
      <c r="B21">
        <v>6117</v>
      </c>
      <c r="C21">
        <v>35.1</v>
      </c>
      <c r="D21">
        <f t="shared" si="0"/>
        <v>35100000000</v>
      </c>
      <c r="E21">
        <f t="shared" si="1"/>
        <v>8389101333600</v>
      </c>
      <c r="F21">
        <v>442</v>
      </c>
      <c r="G21">
        <f t="shared" si="2"/>
        <v>442000</v>
      </c>
      <c r="I21">
        <f t="shared" si="3"/>
        <v>5.7381069151544875E-3</v>
      </c>
      <c r="J21">
        <f t="shared" si="4"/>
        <v>5738106.9151544878</v>
      </c>
      <c r="N21">
        <v>4184000</v>
      </c>
    </row>
    <row r="22" spans="1:14">
      <c r="A22">
        <v>2003</v>
      </c>
      <c r="B22">
        <v>757</v>
      </c>
      <c r="C22">
        <v>4.3</v>
      </c>
      <c r="D22">
        <f t="shared" si="0"/>
        <v>4300000000</v>
      </c>
      <c r="E22">
        <f t="shared" si="1"/>
        <v>1027724664800</v>
      </c>
      <c r="F22">
        <v>55</v>
      </c>
      <c r="G22">
        <f t="shared" si="2"/>
        <v>55000</v>
      </c>
      <c r="I22">
        <f t="shared" si="3"/>
        <v>5.6803170409511225E-3</v>
      </c>
      <c r="J22">
        <f t="shared" si="4"/>
        <v>5680317.0409511225</v>
      </c>
    </row>
    <row r="23" spans="1:14">
      <c r="A23">
        <v>2003</v>
      </c>
      <c r="B23">
        <v>59</v>
      </c>
      <c r="C23">
        <v>0.3</v>
      </c>
      <c r="D23">
        <f t="shared" si="0"/>
        <v>300000000</v>
      </c>
      <c r="E23">
        <f t="shared" si="1"/>
        <v>71701720800</v>
      </c>
      <c r="F23">
        <v>4</v>
      </c>
      <c r="G23">
        <f t="shared" si="2"/>
        <v>4000</v>
      </c>
      <c r="I23">
        <f t="shared" si="3"/>
        <v>5.084745762711864E-3</v>
      </c>
      <c r="J23">
        <f t="shared" si="4"/>
        <v>5084745.762711864</v>
      </c>
      <c r="N23" t="s">
        <v>15</v>
      </c>
    </row>
    <row r="24" spans="1:14">
      <c r="A24">
        <v>2003</v>
      </c>
      <c r="B24">
        <v>837</v>
      </c>
      <c r="C24">
        <v>4.8</v>
      </c>
      <c r="D24">
        <f t="shared" si="0"/>
        <v>4800000000</v>
      </c>
      <c r="E24">
        <f t="shared" si="1"/>
        <v>1147227532800</v>
      </c>
      <c r="F24">
        <v>60</v>
      </c>
      <c r="G24">
        <f t="shared" si="2"/>
        <v>60000</v>
      </c>
      <c r="I24">
        <f t="shared" si="3"/>
        <v>5.7347670250896057E-3</v>
      </c>
      <c r="J24">
        <f t="shared" si="4"/>
        <v>5734767.0250896057</v>
      </c>
    </row>
    <row r="25" spans="1:14">
      <c r="A25">
        <v>2003</v>
      </c>
      <c r="B25">
        <v>186</v>
      </c>
      <c r="C25">
        <v>1.1000000000000001</v>
      </c>
      <c r="D25">
        <f t="shared" si="0"/>
        <v>1100000000</v>
      </c>
      <c r="E25">
        <f t="shared" si="1"/>
        <v>262906309600</v>
      </c>
      <c r="F25">
        <v>13</v>
      </c>
      <c r="G25">
        <f t="shared" si="2"/>
        <v>13000</v>
      </c>
      <c r="I25">
        <f t="shared" si="3"/>
        <v>5.9139784946236566E-3</v>
      </c>
      <c r="J25">
        <f t="shared" si="4"/>
        <v>5913978.4946236564</v>
      </c>
      <c r="N25" t="s">
        <v>23</v>
      </c>
    </row>
    <row r="26" spans="1:14">
      <c r="A26">
        <v>2003</v>
      </c>
      <c r="B26">
        <v>191</v>
      </c>
      <c r="C26">
        <v>1.9</v>
      </c>
      <c r="D26">
        <f t="shared" si="0"/>
        <v>1900000000</v>
      </c>
      <c r="E26">
        <f t="shared" si="1"/>
        <v>454110898400</v>
      </c>
      <c r="F26">
        <v>23</v>
      </c>
      <c r="G26">
        <f t="shared" si="2"/>
        <v>23000</v>
      </c>
      <c r="I26">
        <f t="shared" si="3"/>
        <v>9.947643979057591E-3</v>
      </c>
      <c r="J26">
        <f t="shared" si="4"/>
        <v>9947643.9790575914</v>
      </c>
      <c r="N26" t="s">
        <v>24</v>
      </c>
    </row>
    <row r="27" spans="1:14">
      <c r="A27">
        <v>2003</v>
      </c>
      <c r="B27">
        <v>580</v>
      </c>
      <c r="C27">
        <v>5.6</v>
      </c>
      <c r="D27">
        <f t="shared" si="0"/>
        <v>5600000000</v>
      </c>
      <c r="E27">
        <f t="shared" si="1"/>
        <v>1338432121600</v>
      </c>
      <c r="F27">
        <v>71</v>
      </c>
      <c r="G27">
        <f t="shared" si="2"/>
        <v>71000</v>
      </c>
      <c r="I27">
        <f t="shared" si="3"/>
        <v>9.6551724137931023E-3</v>
      </c>
      <c r="J27">
        <f t="shared" si="4"/>
        <v>9655172.4137931019</v>
      </c>
    </row>
    <row r="28" spans="1:14">
      <c r="A28">
        <v>2003</v>
      </c>
      <c r="B28">
        <v>1448</v>
      </c>
      <c r="C28">
        <v>14.1</v>
      </c>
      <c r="D28">
        <f t="shared" si="0"/>
        <v>14100000000</v>
      </c>
      <c r="E28">
        <f t="shared" si="1"/>
        <v>3369980877600</v>
      </c>
      <c r="F28">
        <v>177</v>
      </c>
      <c r="G28">
        <f t="shared" si="2"/>
        <v>177000</v>
      </c>
      <c r="I28">
        <f t="shared" si="3"/>
        <v>9.7375690607734797E-3</v>
      </c>
      <c r="J28">
        <f t="shared" si="4"/>
        <v>9737569.0607734788</v>
      </c>
    </row>
    <row r="29" spans="1:14">
      <c r="A29">
        <v>2003</v>
      </c>
      <c r="B29">
        <v>941</v>
      </c>
      <c r="C29">
        <v>9.1999999999999993</v>
      </c>
      <c r="D29">
        <f t="shared" si="0"/>
        <v>9200000000</v>
      </c>
      <c r="E29">
        <f t="shared" si="1"/>
        <v>2198852771200</v>
      </c>
      <c r="F29">
        <v>115</v>
      </c>
      <c r="G29">
        <f t="shared" si="2"/>
        <v>115000</v>
      </c>
      <c r="I29">
        <f t="shared" si="3"/>
        <v>9.7768331562167899E-3</v>
      </c>
      <c r="J29">
        <f t="shared" si="4"/>
        <v>9776833.156216789</v>
      </c>
    </row>
    <row r="30" spans="1:14">
      <c r="A30">
        <v>2003</v>
      </c>
      <c r="B30">
        <v>5309</v>
      </c>
      <c r="C30">
        <v>47.2</v>
      </c>
      <c r="D30">
        <f t="shared" si="0"/>
        <v>47200000000</v>
      </c>
      <c r="E30">
        <f t="shared" si="1"/>
        <v>11281070739200</v>
      </c>
      <c r="F30">
        <v>594</v>
      </c>
      <c r="G30">
        <f t="shared" si="2"/>
        <v>594000</v>
      </c>
      <c r="I30">
        <f t="shared" si="3"/>
        <v>8.8905631945752506E-3</v>
      </c>
      <c r="J30">
        <f t="shared" si="4"/>
        <v>8890563.1945752501</v>
      </c>
    </row>
    <row r="31" spans="1:14">
      <c r="A31">
        <v>2003</v>
      </c>
      <c r="B31">
        <v>20139</v>
      </c>
      <c r="C31">
        <v>179</v>
      </c>
      <c r="D31">
        <f t="shared" si="0"/>
        <v>179000000000</v>
      </c>
      <c r="E31">
        <f t="shared" si="1"/>
        <v>42782026744000</v>
      </c>
      <c r="F31">
        <v>2253</v>
      </c>
      <c r="G31">
        <f t="shared" si="2"/>
        <v>2253000</v>
      </c>
      <c r="I31">
        <f t="shared" si="3"/>
        <v>8.8882268235761456E-3</v>
      </c>
      <c r="J31">
        <f t="shared" si="4"/>
        <v>8888226.8235761449</v>
      </c>
    </row>
    <row r="32" spans="1:14">
      <c r="A32">
        <v>2004</v>
      </c>
      <c r="B32">
        <v>4319</v>
      </c>
      <c r="C32">
        <v>38.4</v>
      </c>
      <c r="D32">
        <f t="shared" si="0"/>
        <v>38400000000</v>
      </c>
      <c r="E32">
        <f t="shared" si="1"/>
        <v>9177820262400</v>
      </c>
      <c r="F32">
        <v>483</v>
      </c>
      <c r="G32">
        <f t="shared" si="2"/>
        <v>483000</v>
      </c>
      <c r="I32">
        <f t="shared" si="3"/>
        <v>8.8909469784672381E-3</v>
      </c>
      <c r="J32">
        <f t="shared" si="4"/>
        <v>8890946.9784672372</v>
      </c>
      <c r="N32" t="s">
        <v>21</v>
      </c>
    </row>
    <row r="33" spans="1:14">
      <c r="A33">
        <v>2004</v>
      </c>
      <c r="B33">
        <v>25026</v>
      </c>
      <c r="C33">
        <v>143.69999999999999</v>
      </c>
      <c r="D33">
        <f t="shared" si="0"/>
        <v>143700000000</v>
      </c>
      <c r="E33">
        <f t="shared" si="1"/>
        <v>34345124263200</v>
      </c>
      <c r="F33">
        <v>1808</v>
      </c>
      <c r="G33">
        <f t="shared" si="2"/>
        <v>1808000</v>
      </c>
      <c r="I33">
        <f t="shared" si="3"/>
        <v>5.7420282905777985E-3</v>
      </c>
      <c r="J33">
        <f t="shared" si="4"/>
        <v>5742028.2905777982</v>
      </c>
    </row>
    <row r="34" spans="1:14">
      <c r="A34">
        <v>2004</v>
      </c>
      <c r="B34">
        <v>988</v>
      </c>
      <c r="C34">
        <v>5.7</v>
      </c>
      <c r="D34">
        <f t="shared" si="0"/>
        <v>5700000000</v>
      </c>
      <c r="E34">
        <f t="shared" si="1"/>
        <v>1362332695200</v>
      </c>
      <c r="F34">
        <v>71</v>
      </c>
      <c r="G34">
        <f t="shared" si="2"/>
        <v>71000</v>
      </c>
      <c r="I34">
        <f t="shared" si="3"/>
        <v>5.7692307692307696E-3</v>
      </c>
      <c r="J34">
        <f t="shared" si="4"/>
        <v>5769230.7692307699</v>
      </c>
    </row>
    <row r="35" spans="1:14">
      <c r="A35">
        <v>2004</v>
      </c>
      <c r="B35">
        <v>128</v>
      </c>
      <c r="C35">
        <v>0.7</v>
      </c>
      <c r="D35">
        <f t="shared" si="0"/>
        <v>700000000</v>
      </c>
      <c r="E35">
        <f t="shared" si="1"/>
        <v>167304015200</v>
      </c>
      <c r="F35">
        <v>9</v>
      </c>
      <c r="G35">
        <f t="shared" si="2"/>
        <v>9000</v>
      </c>
      <c r="I35">
        <f t="shared" si="3"/>
        <v>5.4687499999999997E-3</v>
      </c>
      <c r="J35">
        <f t="shared" si="4"/>
        <v>5468750</v>
      </c>
    </row>
    <row r="36" spans="1:14">
      <c r="A36">
        <v>2004</v>
      </c>
      <c r="B36">
        <v>39</v>
      </c>
      <c r="C36">
        <v>0.2</v>
      </c>
      <c r="D36">
        <f t="shared" si="0"/>
        <v>200000000</v>
      </c>
      <c r="E36">
        <f t="shared" si="1"/>
        <v>47801147200</v>
      </c>
      <c r="F36">
        <v>3</v>
      </c>
      <c r="G36">
        <f t="shared" si="2"/>
        <v>3000</v>
      </c>
      <c r="I36">
        <f t="shared" si="3"/>
        <v>5.1282051282051282E-3</v>
      </c>
      <c r="J36">
        <f t="shared" si="4"/>
        <v>5128205.128205128</v>
      </c>
    </row>
    <row r="37" spans="1:14">
      <c r="N37" t="s">
        <v>25</v>
      </c>
    </row>
    <row r="38" spans="1:14">
      <c r="N38" s="2" t="s">
        <v>26</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NOAA/NMFS/NWFSC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Stier</dc:creator>
  <cp:lastModifiedBy>Adrian Stier</cp:lastModifiedBy>
  <dcterms:created xsi:type="dcterms:W3CDTF">2015-03-09T20:04:19Z</dcterms:created>
  <dcterms:modified xsi:type="dcterms:W3CDTF">2015-03-19T17:45:18Z</dcterms:modified>
</cp:coreProperties>
</file>