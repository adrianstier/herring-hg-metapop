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autoCompressPictures="0"/>
  <bookViews>
    <workbookView xWindow="240" yWindow="240" windowWidth="24360" windowHeight="15360" activeTab="2"/>
  </bookViews>
  <sheets>
    <sheet name="SSL counts 1971-2013" sheetId="1" r:id="rId1"/>
    <sheet name="Stier_WordToExcel" sheetId="3" r:id="rId2"/>
    <sheet name="Stier_longform" sheetId="4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4" i="3" l="1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C71" i="3"/>
  <c r="D71" i="3"/>
  <c r="B71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D70" i="3"/>
  <c r="D69" i="3"/>
  <c r="D68" i="3"/>
  <c r="D67" i="3"/>
  <c r="D66" i="3"/>
  <c r="D65" i="3"/>
  <c r="C70" i="3"/>
  <c r="C69" i="3"/>
  <c r="C68" i="3"/>
  <c r="C67" i="3"/>
  <c r="C66" i="3"/>
  <c r="C65" i="3"/>
  <c r="B70" i="3"/>
  <c r="B69" i="3"/>
  <c r="B68" i="3"/>
  <c r="B67" i="3"/>
  <c r="B66" i="3"/>
  <c r="B65" i="3"/>
  <c r="A70" i="3"/>
  <c r="A69" i="3"/>
  <c r="A68" i="3"/>
  <c r="A67" i="3"/>
  <c r="A66" i="3"/>
  <c r="A65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D64" i="3"/>
  <c r="D63" i="3"/>
  <c r="D62" i="3"/>
  <c r="D61" i="3"/>
  <c r="D60" i="3"/>
  <c r="D59" i="3"/>
  <c r="D58" i="3"/>
  <c r="C64" i="3"/>
  <c r="C63" i="3"/>
  <c r="C62" i="3"/>
  <c r="C61" i="3"/>
  <c r="C60" i="3"/>
  <c r="C59" i="3"/>
  <c r="C58" i="3"/>
  <c r="B64" i="3"/>
  <c r="B63" i="3"/>
  <c r="B62" i="3"/>
  <c r="B61" i="3"/>
  <c r="B60" i="3"/>
  <c r="B59" i="3"/>
  <c r="B58" i="3"/>
  <c r="A64" i="3"/>
  <c r="A63" i="3"/>
  <c r="A62" i="3"/>
  <c r="A61" i="3"/>
  <c r="A60" i="3"/>
  <c r="A59" i="3"/>
  <c r="A58" i="3"/>
  <c r="S57" i="3"/>
  <c r="R57" i="3"/>
  <c r="Q57" i="3"/>
  <c r="P57" i="3"/>
  <c r="O57" i="3"/>
  <c r="N57" i="3"/>
  <c r="M57" i="3"/>
  <c r="L57" i="3"/>
  <c r="K57" i="3"/>
  <c r="J57" i="3"/>
  <c r="I57" i="3"/>
  <c r="H57" i="3"/>
  <c r="S56" i="3"/>
  <c r="R56" i="3"/>
  <c r="Q56" i="3"/>
  <c r="P56" i="3"/>
  <c r="O56" i="3"/>
  <c r="N56" i="3"/>
  <c r="M56" i="3"/>
  <c r="L56" i="3"/>
  <c r="K56" i="3"/>
  <c r="J56" i="3"/>
  <c r="I56" i="3"/>
  <c r="H56" i="3"/>
  <c r="S55" i="3"/>
  <c r="R55" i="3"/>
  <c r="Q55" i="3"/>
  <c r="P55" i="3"/>
  <c r="O55" i="3"/>
  <c r="N55" i="3"/>
  <c r="M55" i="3"/>
  <c r="L55" i="3"/>
  <c r="K55" i="3"/>
  <c r="J55" i="3"/>
  <c r="I55" i="3"/>
  <c r="H55" i="3"/>
  <c r="S54" i="3"/>
  <c r="R54" i="3"/>
  <c r="Q54" i="3"/>
  <c r="P54" i="3"/>
  <c r="O54" i="3"/>
  <c r="N54" i="3"/>
  <c r="M54" i="3"/>
  <c r="L54" i="3"/>
  <c r="K54" i="3"/>
  <c r="J54" i="3"/>
  <c r="I54" i="3"/>
  <c r="H54" i="3"/>
  <c r="G57" i="3"/>
  <c r="D57" i="3"/>
  <c r="C57" i="3"/>
  <c r="B57" i="3"/>
  <c r="A57" i="3"/>
  <c r="G56" i="3"/>
  <c r="G55" i="3"/>
  <c r="G54" i="3"/>
  <c r="D56" i="3"/>
  <c r="D55" i="3"/>
  <c r="D54" i="3"/>
  <c r="C56" i="3"/>
  <c r="C55" i="3"/>
  <c r="C54" i="3"/>
  <c r="B56" i="3"/>
  <c r="B55" i="3"/>
  <c r="B54" i="3"/>
  <c r="A56" i="3"/>
  <c r="A55" i="3"/>
  <c r="A54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D53" i="3"/>
  <c r="D52" i="3"/>
  <c r="D51" i="3"/>
  <c r="D50" i="3"/>
  <c r="C53" i="3"/>
  <c r="B53" i="3"/>
  <c r="C52" i="3"/>
  <c r="B52" i="3"/>
  <c r="C51" i="3"/>
  <c r="B51" i="3"/>
  <c r="C50" i="3"/>
  <c r="B50" i="3"/>
  <c r="B49" i="3"/>
  <c r="A53" i="3"/>
  <c r="A52" i="3"/>
  <c r="A51" i="3"/>
  <c r="A50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</calcChain>
</file>

<file path=xl/comments1.xml><?xml version="1.0" encoding="utf-8"?>
<comments xmlns="http://schemas.openxmlformats.org/spreadsheetml/2006/main">
  <authors>
    <author>Imported Author</author>
  </authors>
  <commentList>
    <comment ref="N7" authorId="0">
      <text>
        <r>
          <rPr>
            <sz val="11"/>
            <color indexed="8"/>
            <rFont val="Helvetica"/>
          </rPr>
          <t>Imported Author:
NS - ESTIMATE</t>
        </r>
      </text>
    </comment>
    <comment ref="M14" authorId="0">
      <text>
        <r>
          <rPr>
            <sz val="11"/>
            <color indexed="8"/>
            <rFont val="Helvetica"/>
          </rPr>
          <t>Imported Author:
NS - ESTIMATE</t>
        </r>
      </text>
    </comment>
    <comment ref="M15" authorId="0">
      <text>
        <r>
          <rPr>
            <sz val="11"/>
            <color indexed="8"/>
            <rFont val="Helvetica"/>
          </rPr>
          <t>Imported Author:
NS - ESTIMATE</t>
        </r>
      </text>
    </comment>
  </commentList>
</comments>
</file>

<file path=xl/sharedStrings.xml><?xml version="1.0" encoding="utf-8"?>
<sst xmlns="http://schemas.openxmlformats.org/spreadsheetml/2006/main" count="3183" uniqueCount="235">
  <si>
    <t>1971</t>
  </si>
  <si>
    <t>1973</t>
  </si>
  <si>
    <t>1977</t>
  </si>
  <si>
    <t>1982</t>
  </si>
  <si>
    <t>1987</t>
  </si>
  <si>
    <t>1992</t>
  </si>
  <si>
    <t>1994</t>
  </si>
  <si>
    <t>1998</t>
  </si>
  <si>
    <t>2002</t>
  </si>
  <si>
    <t>2006</t>
  </si>
  <si>
    <t>2008</t>
  </si>
  <si>
    <t>2010</t>
  </si>
  <si>
    <t>2013</t>
  </si>
  <si>
    <t>ROSE SPIT</t>
  </si>
  <si>
    <t>REEF ISL</t>
  </si>
  <si>
    <t>SKEDANS</t>
  </si>
  <si>
    <t>TATSUNG</t>
  </si>
  <si>
    <t>JOYCE</t>
  </si>
  <si>
    <t>GARCIN ROCKS</t>
  </si>
  <si>
    <t>CAPE ST. JAMES</t>
  </si>
  <si>
    <t>S TASU HD</t>
  </si>
  <si>
    <t>MORESBY ITS</t>
  </si>
  <si>
    <t>MARBLE</t>
  </si>
  <si>
    <t>CONE HD</t>
  </si>
  <si>
    <t>JOSEPH ROCKS</t>
  </si>
  <si>
    <t>LANGARA ISL</t>
  </si>
  <si>
    <t>ANTHONY ISL</t>
  </si>
  <si>
    <t>PUPS</t>
  </si>
  <si>
    <t>NONPUPS</t>
  </si>
  <si>
    <t>SSL Breeding Season Counts - Haida Gwaii</t>
  </si>
  <si>
    <t>NA</t>
  </si>
  <si>
    <t>Site</t>
  </si>
  <si>
    <t>Pups</t>
  </si>
  <si>
    <t>Site Name</t>
  </si>
  <si>
    <t>Latitude</t>
  </si>
  <si>
    <t>Longitude</t>
  </si>
  <si>
    <t>Type</t>
  </si>
  <si>
    <t>28 Jun to</t>
  </si>
  <si>
    <t>29 Jun to</t>
  </si>
  <si>
    <t>27Jun to</t>
  </si>
  <si>
    <t>29Jun to</t>
  </si>
  <si>
    <t>02 Jul to</t>
  </si>
  <si>
    <t>01 Jul to        03 Jul 2006</t>
  </si>
  <si>
    <t>01 Jul to        09 Jul 2008</t>
  </si>
  <si>
    <t>26 Jun to        03 Jul 2010</t>
  </si>
  <si>
    <t>West Coast Vancouver Island</t>
  </si>
  <si>
    <t>CARMANAH PT</t>
  </si>
  <si>
    <t>48º</t>
  </si>
  <si>
    <t>36.9’N</t>
  </si>
  <si>
    <t>124º</t>
  </si>
  <si>
    <t>45.7’W</t>
  </si>
  <si>
    <t>W/Y</t>
  </si>
  <si>
    <t>PACHENA PT</t>
  </si>
  <si>
    <t>43.4’N</t>
  </si>
  <si>
    <t>125º</t>
  </si>
  <si>
    <t>06.3’W</t>
  </si>
  <si>
    <t>WOUWER ISL</t>
  </si>
  <si>
    <t>51.8’N</t>
  </si>
  <si>
    <t>21.5’W</t>
  </si>
  <si>
    <t>MARA RK</t>
  </si>
  <si>
    <t>52.5’N</t>
  </si>
  <si>
    <t>28.7’W</t>
  </si>
  <si>
    <t>LONG BEACH RKS</t>
  </si>
  <si>
    <t>49º</t>
  </si>
  <si>
    <t>02.3’N</t>
  </si>
  <si>
    <t>43.1’W</t>
  </si>
  <si>
    <t>Y</t>
  </si>
  <si>
    <t>CLELAND ISL</t>
  </si>
  <si>
    <t>10.3’N</t>
  </si>
  <si>
    <t>05.5’W</t>
  </si>
  <si>
    <t>0?</t>
  </si>
  <si>
    <t>PEREZ RKS</t>
  </si>
  <si>
    <t>24.2’N</t>
  </si>
  <si>
    <t>126º</t>
  </si>
  <si>
    <t>35.0’W</t>
  </si>
  <si>
    <t>RAPHAEL PT</t>
  </si>
  <si>
    <t>18.5’N</t>
  </si>
  <si>
    <t>13.7’W</t>
  </si>
  <si>
    <t>W</t>
  </si>
  <si>
    <t>FERRER PT</t>
  </si>
  <si>
    <t>44.6’N</t>
  </si>
  <si>
    <t>58.7’W</t>
  </si>
  <si>
    <t>BARRIER ISLS</t>
  </si>
  <si>
    <t>50º</t>
  </si>
  <si>
    <t>00.7’N</t>
  </si>
  <si>
    <t>127º</t>
  </si>
  <si>
    <t>31.6’W</t>
  </si>
  <si>
    <t>O'LEARY ITS</t>
  </si>
  <si>
    <t>06.1’N</t>
  </si>
  <si>
    <t>38.8’W</t>
  </si>
  <si>
    <t>Y/W</t>
  </si>
  <si>
    <t>SOLANDER ISL</t>
  </si>
  <si>
    <t>06.7’N</t>
  </si>
  <si>
    <t>56.4’W</t>
  </si>
  <si>
    <t>CAPE SCOTT</t>
  </si>
  <si>
    <t>47.1’N</t>
  </si>
  <si>
    <t>128º</t>
  </si>
  <si>
    <t>25.2’W</t>
  </si>
  <si>
    <t>Regional Subtotal</t>
  </si>
  <si>
    <t>Scott Islands</t>
  </si>
  <si>
    <t>MAGGOT ISL</t>
  </si>
  <si>
    <t>48.1’N</t>
  </si>
  <si>
    <t>46.8’W</t>
  </si>
  <si>
    <t>R</t>
  </si>
  <si>
    <t>BERESFORD ISL</t>
  </si>
  <si>
    <t>47.5’N</t>
  </si>
  <si>
    <t>46.2’W</t>
  </si>
  <si>
    <t>SARTINE ISL</t>
  </si>
  <si>
    <t>49.2’N</t>
  </si>
  <si>
    <t>54.2’W</t>
  </si>
  <si>
    <t>TRIANGLE ISL</t>
  </si>
  <si>
    <t>52.3’N</t>
  </si>
  <si>
    <t>129º</t>
  </si>
  <si>
    <t>04.6’W</t>
  </si>
  <si>
    <t>Queen Charlotte Strait</t>
  </si>
  <si>
    <t>ASHBY PT</t>
  </si>
  <si>
    <t>56.5’N</t>
  </si>
  <si>
    <t>55.2’W</t>
  </si>
  <si>
    <t>BUCKLE GRP</t>
  </si>
  <si>
    <t>39.4’W</t>
  </si>
  <si>
    <t>MILLER GRP</t>
  </si>
  <si>
    <t>54.6’N</t>
  </si>
  <si>
    <t>26.5’W</t>
  </si>
  <si>
    <t>EDEN ISL</t>
  </si>
  <si>
    <t>44.8’N</t>
  </si>
  <si>
    <t>43.3’W</t>
  </si>
  <si>
    <t>Total Southern B.C.</t>
  </si>
  <si>
    <t>SiteType</t>
  </si>
  <si>
    <t>WCVI</t>
  </si>
  <si>
    <t>28 Jun-</t>
  </si>
  <si>
    <t>29 Jun-</t>
  </si>
  <si>
    <t>27Jun-</t>
  </si>
  <si>
    <t>29Jun-</t>
  </si>
  <si>
    <t>02 Jul-</t>
  </si>
  <si>
    <t>01 Jul-        03 Jul 2006</t>
  </si>
  <si>
    <t>01 Jul-        09 Jul 2008</t>
  </si>
  <si>
    <t>26 Jun-        03 Jul 2010</t>
  </si>
  <si>
    <t>Central Mainland Coast</t>
  </si>
  <si>
    <t>VIRGIN RKS</t>
  </si>
  <si>
    <t>51º</t>
  </si>
  <si>
    <t>16.8’N</t>
  </si>
  <si>
    <t>12.2’W</t>
  </si>
  <si>
    <t>PEARL RKS</t>
  </si>
  <si>
    <t>21.8’N</t>
  </si>
  <si>
    <t>00.1’W</t>
  </si>
  <si>
    <t>BLENHEIM ISL</t>
  </si>
  <si>
    <t>48.5’N</t>
  </si>
  <si>
    <t>15.2’W</t>
  </si>
  <si>
    <t>GOSLING RKS</t>
  </si>
  <si>
    <t>52.1’N</t>
  </si>
  <si>
    <t>27.6’W</t>
  </si>
  <si>
    <t>MCINNES ISL</t>
  </si>
  <si>
    <t>52º</t>
  </si>
  <si>
    <t>15.8’N</t>
  </si>
  <si>
    <t>STEELE RK</t>
  </si>
  <si>
    <t>27.8’N</t>
  </si>
  <si>
    <t>22.3’W</t>
  </si>
  <si>
    <t>ASHDOWN ISL</t>
  </si>
  <si>
    <t>53º</t>
  </si>
  <si>
    <t>03.0’N</t>
  </si>
  <si>
    <t>12.7’W</t>
  </si>
  <si>
    <t>Regional Subtot</t>
  </si>
  <si>
    <t>North Mainland Coast</t>
  </si>
  <si>
    <t>ISNOR RK</t>
  </si>
  <si>
    <t>44.2’N</t>
  </si>
  <si>
    <t>31.8’W</t>
  </si>
  <si>
    <t>JOSEPH ISL</t>
  </si>
  <si>
    <t>08.7’N</t>
  </si>
  <si>
    <t>130º</t>
  </si>
  <si>
    <t>02.5’W</t>
  </si>
  <si>
    <t>N DANGER RKS</t>
  </si>
  <si>
    <t>15.3’N</t>
  </si>
  <si>
    <t>20.5’W</t>
  </si>
  <si>
    <t>BONILLA ISL</t>
  </si>
  <si>
    <t>28.0’N</t>
  </si>
  <si>
    <t>36.8’W</t>
  </si>
  <si>
    <t>WARRIOR RKS</t>
  </si>
  <si>
    <t>54º</t>
  </si>
  <si>
    <t>03.9’N</t>
  </si>
  <si>
    <t>51.1’W</t>
  </si>
  <si>
    <t>CHEARNLEY ITS</t>
  </si>
  <si>
    <t>26.5’N</t>
  </si>
  <si>
    <t>59.2’W</t>
  </si>
  <si>
    <t>Haida Gwaii (Queen Charlotte Islands)</t>
  </si>
  <si>
    <t>12.7’N</t>
  </si>
  <si>
    <t>131º</t>
  </si>
  <si>
    <t>29.1’W</t>
  </si>
  <si>
    <t>SKEDANS ISLS</t>
  </si>
  <si>
    <t>57.2’N</t>
  </si>
  <si>
    <t>33.1’W</t>
  </si>
  <si>
    <t>JOYCE RKS</t>
  </si>
  <si>
    <t>20.2’N</t>
  </si>
  <si>
    <t>07.9’W</t>
  </si>
  <si>
    <t>TATSUNG RK</t>
  </si>
  <si>
    <t>32.6’N</t>
  </si>
  <si>
    <t>21.4’W</t>
  </si>
  <si>
    <t>54.7’N</t>
  </si>
  <si>
    <t>58.9’W</t>
  </si>
  <si>
    <t>42.2’N</t>
  </si>
  <si>
    <t>132º</t>
  </si>
  <si>
    <t>04.5’W</t>
  </si>
  <si>
    <t>58.4’N</t>
  </si>
  <si>
    <t>21.6’W</t>
  </si>
  <si>
    <t>MARBLE ISL</t>
  </si>
  <si>
    <t>12.3’N</t>
  </si>
  <si>
    <t>39.1’W</t>
  </si>
  <si>
    <t>22.6’N</t>
  </si>
  <si>
    <t>JOSEPH RKS</t>
  </si>
  <si>
    <t>48.8’N</t>
  </si>
  <si>
    <t>133º</t>
  </si>
  <si>
    <t>08.0’W</t>
  </si>
  <si>
    <t>15.6’N</t>
  </si>
  <si>
    <t>00.9’W</t>
  </si>
  <si>
    <t>06.2’N</t>
  </si>
  <si>
    <t>14.4’W</t>
  </si>
  <si>
    <t>GARCIN RKS</t>
  </si>
  <si>
    <t>12.8’N</t>
  </si>
  <si>
    <t>57.6’W</t>
  </si>
  <si>
    <t>Total North’n B.C.</t>
  </si>
  <si>
    <t>-</t>
  </si>
  <si>
    <t>Miscellaneous</t>
  </si>
  <si>
    <t>Total Estimated</t>
  </si>
  <si>
    <t>ScottIslands</t>
  </si>
  <si>
    <t>QueenCharlotteStrait</t>
  </si>
  <si>
    <t>WHAT ARE NEGATIVE?</t>
  </si>
  <si>
    <t>Region_large</t>
  </si>
  <si>
    <t>Region_small</t>
  </si>
  <si>
    <t>SouthernBC</t>
  </si>
  <si>
    <t>CentralMainlandCoast</t>
  </si>
  <si>
    <t>NorthernBC</t>
  </si>
  <si>
    <t>NorthMainlandCoast</t>
  </si>
  <si>
    <t>HaidaGwaii</t>
  </si>
  <si>
    <t>WHAT ARE BLANKS VERSUS ZEROS</t>
  </si>
  <si>
    <t>Adults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</si>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</sst>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Helvetica Neue"/>
    </font>
    <font>
      <b/>
      <sz val="11"/>
      <color rgb="FF000000"/>
      <name val="Helvetica Neue"/>
    </font>
    <font>
      <sz val="11"/>
      <color indexed="8"/>
      <name val="Helvetica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color theme="1"/>
      <name val="Arial"/>
    </font>
    <font>
      <b/>
      <sz val="8"/>
      <color rgb="FF000000"/>
      <name val="Arial"/>
    </font>
    <font>
      <b/>
      <i/>
      <sz val="8"/>
      <color theme="1"/>
      <name val="Arial"/>
    </font>
    <font>
      <b/>
      <sz val="8"/>
      <color theme="1"/>
      <name val="Arial"/>
    </font>
    <font>
      <sz val="12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3">
    <border>
      <left/>
      <right/>
      <top/>
      <bottom/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CDCDCD"/>
      </left>
      <right style="thin">
        <color rgb="FFCDCDCD"/>
      </right>
      <top style="thin">
        <color rgb="FFCDCDCD"/>
      </top>
      <bottom/>
      <diagonal/>
    </border>
    <border>
      <left style="thin">
        <color rgb="FFCDCDCD"/>
      </left>
      <right/>
      <top style="thin">
        <color rgb="FFCDCDCD"/>
      </top>
      <bottom style="thin">
        <color rgb="FFCDCDCD"/>
      </bottom>
      <diagonal/>
    </border>
    <border>
      <left style="thin">
        <color rgb="FFCDCDCD"/>
      </left>
      <right style="thin">
        <color rgb="FFCDCDCD"/>
      </right>
      <top/>
      <bottom/>
      <diagonal/>
    </border>
    <border>
      <left/>
      <right style="thin">
        <color rgb="FFCDCDCD"/>
      </right>
      <top/>
      <bottom/>
      <diagonal/>
    </border>
    <border>
      <left/>
      <right/>
      <top/>
      <bottom style="thin">
        <color rgb="FFCDCDCD"/>
      </bottom>
      <diagonal/>
    </border>
    <border>
      <left/>
      <right/>
      <top style="thin">
        <color rgb="FFCDCDCD"/>
      </top>
      <bottom/>
      <diagonal/>
    </border>
    <border>
      <left/>
      <right style="thin">
        <color rgb="FFCDCDCD"/>
      </right>
      <top style="thin">
        <color rgb="FFCDCDCD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26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6">
    <xf numFmtId="0" fontId="0" fillId="0" borderId="0" xfId="0"/>
    <xf numFmtId="0" fontId="4" fillId="0" borderId="0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/>
    </xf>
    <xf numFmtId="1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4" fillId="0" borderId="5" xfId="0" applyFont="1" applyFill="1" applyBorder="1" applyAlignment="1"/>
    <xf numFmtId="1" fontId="2" fillId="0" borderId="3" xfId="0" applyNumberFormat="1" applyFont="1" applyFill="1" applyBorder="1" applyAlignment="1"/>
    <xf numFmtId="0" fontId="4" fillId="0" borderId="4" xfId="0" applyFont="1" applyFill="1" applyBorder="1" applyAlignment="1"/>
    <xf numFmtId="1" fontId="2" fillId="0" borderId="0" xfId="0" applyNumberFormat="1" applyFont="1" applyFill="1" applyBorder="1" applyAlignment="1"/>
    <xf numFmtId="0" fontId="4" fillId="0" borderId="7" xfId="0" applyFont="1" applyFill="1" applyBorder="1" applyAlignment="1"/>
    <xf numFmtId="1" fontId="3" fillId="0" borderId="3" xfId="0" applyNumberFormat="1" applyFont="1" applyFill="1" applyBorder="1" applyAlignment="1">
      <alignment horizontal="right"/>
    </xf>
    <xf numFmtId="0" fontId="2" fillId="0" borderId="4" xfId="0" applyNumberFormat="1" applyFont="1" applyFill="1" applyBorder="1" applyAlignment="1"/>
    <xf numFmtId="0" fontId="4" fillId="0" borderId="1" xfId="0" applyFont="1" applyFill="1" applyBorder="1" applyAlignment="1"/>
    <xf numFmtId="0" fontId="4" fillId="0" borderId="8" xfId="0" applyFont="1" applyFill="1" applyBorder="1" applyAlignment="1"/>
    <xf numFmtId="0" fontId="4" fillId="0" borderId="0" xfId="0" applyFont="1" applyFill="1" applyBorder="1" applyAlignment="1"/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right"/>
    </xf>
    <xf numFmtId="1" fontId="2" fillId="0" borderId="4" xfId="0" applyNumberFormat="1" applyFont="1" applyFill="1" applyBorder="1" applyAlignment="1"/>
    <xf numFmtId="0" fontId="3" fillId="0" borderId="4" xfId="0" applyNumberFormat="1" applyFont="1" applyFill="1" applyBorder="1" applyAlignment="1"/>
    <xf numFmtId="1" fontId="3" fillId="0" borderId="0" xfId="0" applyNumberFormat="1" applyFont="1" applyFill="1" applyBorder="1" applyAlignment="1"/>
    <xf numFmtId="1" fontId="2" fillId="0" borderId="6" xfId="0" applyNumberFormat="1" applyFont="1" applyFill="1" applyBorder="1" applyAlignment="1"/>
    <xf numFmtId="0" fontId="5" fillId="0" borderId="0" xfId="0" applyNumberFormat="1" applyFont="1" applyFill="1" applyBorder="1" applyAlignment="1">
      <alignment vertical="top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15" fontId="10" fillId="0" borderId="0" xfId="0" applyNumberFormat="1" applyFont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16" fontId="10" fillId="0" borderId="0" xfId="0" applyNumberFormat="1" applyFont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4" fillId="0" borderId="0" xfId="0" applyFont="1"/>
    <xf numFmtId="0" fontId="13" fillId="2" borderId="0" xfId="181"/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</cellXfs>
  <cellStyles count="22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Neutral" xfId="18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6"/>
  <sheetViews>
    <sheetView workbookViewId="0">
      <selection activeCell="H62" sqref="H62"/>
    </sheetView>
  </sheetViews>
  <sheetFormatPr baseColWidth="10" defaultColWidth="8" defaultRowHeight="13" x14ac:dyDescent="0"/>
  <cols>
    <col min="1" max="1" width="21.5" style="1" customWidth="1"/>
    <col min="2" max="2" width="10.1640625" style="1" bestFit="1" customWidth="1"/>
    <col min="3" max="17" width="9.5" style="1" customWidth="1"/>
    <col min="18" max="19" width="55" style="1" customWidth="1"/>
    <col min="20" max="16384" width="8" style="1"/>
  </cols>
  <sheetData>
    <row r="1" spans="1:19" ht="14">
      <c r="A1" s="25" t="s">
        <v>29</v>
      </c>
    </row>
    <row r="2" spans="1:19" ht="13" customHeight="1">
      <c r="A2" s="6" t="s">
        <v>31</v>
      </c>
      <c r="B2" s="6" t="s">
        <v>32</v>
      </c>
      <c r="C2" s="18" t="s">
        <v>0</v>
      </c>
      <c r="D2" s="18" t="s">
        <v>1</v>
      </c>
      <c r="E2" s="18" t="s">
        <v>2</v>
      </c>
      <c r="F2" s="18" t="s">
        <v>3</v>
      </c>
      <c r="G2" s="18" t="s">
        <v>4</v>
      </c>
      <c r="H2" s="18" t="s">
        <v>5</v>
      </c>
      <c r="I2" s="18" t="s">
        <v>6</v>
      </c>
      <c r="J2" s="18" t="s">
        <v>7</v>
      </c>
      <c r="K2" s="18" t="s">
        <v>8</v>
      </c>
      <c r="L2" s="19" t="s">
        <v>9</v>
      </c>
      <c r="M2" s="19" t="s">
        <v>10</v>
      </c>
      <c r="N2" s="19" t="s">
        <v>11</v>
      </c>
      <c r="O2" s="19" t="s">
        <v>12</v>
      </c>
      <c r="P2" s="6"/>
      <c r="Q2" s="6"/>
      <c r="R2" s="6"/>
      <c r="S2" s="6"/>
    </row>
    <row r="3" spans="1:19" ht="13" customHeight="1">
      <c r="A3" s="3" t="s">
        <v>13</v>
      </c>
      <c r="B3" s="17" t="s">
        <v>28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12">
        <v>0</v>
      </c>
      <c r="L3" s="10">
        <v>30</v>
      </c>
      <c r="M3" s="10">
        <v>132</v>
      </c>
      <c r="N3" s="10">
        <v>57</v>
      </c>
      <c r="O3" s="10">
        <v>51</v>
      </c>
      <c r="P3" s="3"/>
      <c r="Q3" s="3"/>
      <c r="R3" s="3"/>
      <c r="S3" s="6"/>
    </row>
    <row r="4" spans="1:19" ht="13" customHeight="1">
      <c r="A4" s="3" t="s">
        <v>14</v>
      </c>
      <c r="B4" s="17" t="s">
        <v>28</v>
      </c>
      <c r="C4" s="4">
        <v>207</v>
      </c>
      <c r="D4" s="4">
        <v>105</v>
      </c>
      <c r="E4" s="4">
        <v>88</v>
      </c>
      <c r="F4" s="4">
        <v>36</v>
      </c>
      <c r="G4" s="4">
        <v>482</v>
      </c>
      <c r="H4" s="4">
        <v>489</v>
      </c>
      <c r="I4" s="4">
        <v>538</v>
      </c>
      <c r="J4" s="4">
        <v>216</v>
      </c>
      <c r="K4" s="8">
        <v>370</v>
      </c>
      <c r="L4" s="10">
        <v>253</v>
      </c>
      <c r="M4" s="10">
        <v>294</v>
      </c>
      <c r="N4" s="10">
        <v>316</v>
      </c>
      <c r="O4" s="10">
        <v>305</v>
      </c>
      <c r="P4" s="3"/>
      <c r="Q4" s="3"/>
      <c r="R4" s="3"/>
      <c r="S4" s="6"/>
    </row>
    <row r="5" spans="1:19" ht="13" customHeight="1">
      <c r="A5" s="3" t="s">
        <v>15</v>
      </c>
      <c r="B5" s="17" t="s">
        <v>28</v>
      </c>
      <c r="C5" s="4">
        <v>0</v>
      </c>
      <c r="D5" s="20">
        <v>0</v>
      </c>
      <c r="E5" s="4">
        <v>0</v>
      </c>
      <c r="F5" s="4">
        <v>45</v>
      </c>
      <c r="G5" s="4">
        <v>0</v>
      </c>
      <c r="H5" s="4">
        <v>0</v>
      </c>
      <c r="I5" s="4">
        <v>0</v>
      </c>
      <c r="J5" s="4">
        <v>0</v>
      </c>
      <c r="K5" s="5">
        <v>0</v>
      </c>
      <c r="L5" s="21">
        <v>0</v>
      </c>
      <c r="M5" s="21">
        <v>0</v>
      </c>
      <c r="N5" s="21">
        <v>0</v>
      </c>
      <c r="O5" s="21">
        <v>0</v>
      </c>
      <c r="P5" s="3"/>
      <c r="Q5" s="3"/>
      <c r="R5" s="3"/>
      <c r="S5" s="6"/>
    </row>
    <row r="6" spans="1:19" ht="13" customHeight="1">
      <c r="A6" s="3" t="s">
        <v>16</v>
      </c>
      <c r="B6" s="17" t="s">
        <v>28</v>
      </c>
      <c r="C6" s="4" t="s">
        <v>30</v>
      </c>
      <c r="D6" s="4" t="s">
        <v>30</v>
      </c>
      <c r="E6" s="4" t="s">
        <v>30</v>
      </c>
      <c r="F6" s="4" t="s">
        <v>30</v>
      </c>
      <c r="G6" s="4" t="s">
        <v>30</v>
      </c>
      <c r="H6" s="4" t="s">
        <v>30</v>
      </c>
      <c r="I6" s="4" t="s">
        <v>30</v>
      </c>
      <c r="J6" s="4" t="s">
        <v>30</v>
      </c>
      <c r="K6" s="4" t="s">
        <v>30</v>
      </c>
      <c r="L6" s="4" t="s">
        <v>30</v>
      </c>
      <c r="M6" s="4" t="s">
        <v>30</v>
      </c>
      <c r="N6" s="4" t="s">
        <v>30</v>
      </c>
      <c r="O6" s="13">
        <v>79</v>
      </c>
      <c r="P6" s="3"/>
      <c r="Q6" s="3"/>
      <c r="R6" s="3"/>
      <c r="S6" s="6"/>
    </row>
    <row r="7" spans="1:19" ht="13" customHeight="1">
      <c r="A7" s="3" t="s">
        <v>17</v>
      </c>
      <c r="B7" s="17" t="s">
        <v>28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30</v>
      </c>
      <c r="J7" s="4" t="s">
        <v>30</v>
      </c>
      <c r="K7" s="4" t="s">
        <v>30</v>
      </c>
      <c r="L7" s="22">
        <v>0</v>
      </c>
      <c r="M7" s="13">
        <v>53</v>
      </c>
      <c r="N7" s="22">
        <v>64</v>
      </c>
      <c r="O7" s="13">
        <v>159</v>
      </c>
      <c r="P7" s="2"/>
      <c r="Q7" s="2"/>
      <c r="R7" s="2"/>
      <c r="S7" s="14"/>
    </row>
    <row r="8" spans="1:19" ht="13" customHeight="1">
      <c r="A8" s="3" t="s">
        <v>18</v>
      </c>
      <c r="B8" s="17" t="s">
        <v>28</v>
      </c>
      <c r="C8" s="4" t="s">
        <v>30</v>
      </c>
      <c r="D8" s="4" t="s">
        <v>30</v>
      </c>
      <c r="E8" s="4" t="s">
        <v>30</v>
      </c>
      <c r="F8" s="4" t="s">
        <v>30</v>
      </c>
      <c r="G8" s="4" t="s">
        <v>30</v>
      </c>
      <c r="H8" s="4" t="s">
        <v>30</v>
      </c>
      <c r="I8" s="4" t="s">
        <v>30</v>
      </c>
      <c r="J8" s="4" t="s">
        <v>30</v>
      </c>
      <c r="K8" s="8">
        <v>329</v>
      </c>
      <c r="L8" s="10">
        <v>261</v>
      </c>
      <c r="M8" s="10">
        <v>305</v>
      </c>
      <c r="N8" s="10">
        <v>565</v>
      </c>
      <c r="O8" s="10">
        <v>677</v>
      </c>
      <c r="P8" s="3"/>
      <c r="Q8" s="3"/>
      <c r="R8" s="3"/>
      <c r="S8" s="6"/>
    </row>
    <row r="9" spans="1:19" ht="13" customHeight="1">
      <c r="A9" s="3" t="s">
        <v>19</v>
      </c>
      <c r="B9" s="17" t="s">
        <v>28</v>
      </c>
      <c r="C9" s="4">
        <v>631</v>
      </c>
      <c r="D9" s="4">
        <v>549</v>
      </c>
      <c r="E9" s="4">
        <v>782</v>
      </c>
      <c r="F9" s="4">
        <v>698</v>
      </c>
      <c r="G9" s="4">
        <v>1021</v>
      </c>
      <c r="H9" s="4">
        <v>867</v>
      </c>
      <c r="I9" s="4">
        <v>797</v>
      </c>
      <c r="J9" s="4">
        <v>763</v>
      </c>
      <c r="K9" s="8">
        <v>982</v>
      </c>
      <c r="L9" s="10">
        <v>1094</v>
      </c>
      <c r="M9" s="10">
        <v>811</v>
      </c>
      <c r="N9" s="10">
        <v>1077</v>
      </c>
      <c r="O9" s="10">
        <v>1228</v>
      </c>
      <c r="P9" s="3"/>
      <c r="Q9" s="3"/>
      <c r="R9" s="3"/>
      <c r="S9" s="6"/>
    </row>
    <row r="10" spans="1:19" ht="13" customHeight="1">
      <c r="A10" s="3" t="s">
        <v>20</v>
      </c>
      <c r="B10" s="17" t="s">
        <v>28</v>
      </c>
      <c r="C10" s="4">
        <v>76</v>
      </c>
      <c r="D10" s="20">
        <v>375</v>
      </c>
      <c r="E10" s="4">
        <v>278</v>
      </c>
      <c r="F10" s="4">
        <v>117</v>
      </c>
      <c r="G10" s="4">
        <v>263</v>
      </c>
      <c r="H10" s="4">
        <v>80</v>
      </c>
      <c r="I10" s="4">
        <v>196</v>
      </c>
      <c r="J10" s="4">
        <v>285</v>
      </c>
      <c r="K10" s="8">
        <v>151</v>
      </c>
      <c r="L10" s="10">
        <v>47</v>
      </c>
      <c r="M10" s="10">
        <v>98</v>
      </c>
      <c r="N10" s="10">
        <v>251</v>
      </c>
      <c r="O10" s="10">
        <v>249</v>
      </c>
      <c r="P10" s="3"/>
      <c r="Q10" s="3"/>
      <c r="R10" s="3"/>
      <c r="S10" s="6"/>
    </row>
    <row r="11" spans="1:19" ht="13" customHeight="1">
      <c r="A11" s="3" t="s">
        <v>21</v>
      </c>
      <c r="B11" s="17" t="s">
        <v>28</v>
      </c>
      <c r="C11" s="20">
        <v>0</v>
      </c>
      <c r="D11" s="20">
        <v>0</v>
      </c>
      <c r="E11" s="20">
        <v>0</v>
      </c>
      <c r="F11" s="20">
        <v>0</v>
      </c>
      <c r="G11" s="4">
        <v>0</v>
      </c>
      <c r="H11" s="4">
        <v>3</v>
      </c>
      <c r="I11" s="4">
        <v>115</v>
      </c>
      <c r="J11" s="4">
        <v>65</v>
      </c>
      <c r="K11" s="8">
        <v>2</v>
      </c>
      <c r="L11" s="10">
        <v>1</v>
      </c>
      <c r="M11" s="10">
        <v>0</v>
      </c>
      <c r="N11" s="10">
        <v>0</v>
      </c>
      <c r="O11" s="10">
        <v>76</v>
      </c>
      <c r="P11" s="3"/>
      <c r="Q11" s="3"/>
      <c r="R11" s="3"/>
      <c r="S11" s="6"/>
    </row>
    <row r="12" spans="1:19" ht="13" customHeight="1">
      <c r="A12" s="3" t="s">
        <v>22</v>
      </c>
      <c r="B12" s="17" t="s">
        <v>28</v>
      </c>
      <c r="C12" s="4" t="s">
        <v>30</v>
      </c>
      <c r="D12" s="4" t="s">
        <v>30</v>
      </c>
      <c r="E12" s="4" t="s">
        <v>30</v>
      </c>
      <c r="F12" s="4" t="s">
        <v>30</v>
      </c>
      <c r="G12" s="4" t="s">
        <v>30</v>
      </c>
      <c r="H12" s="4" t="s">
        <v>30</v>
      </c>
      <c r="I12" s="4" t="s">
        <v>30</v>
      </c>
      <c r="J12" s="4" t="s">
        <v>30</v>
      </c>
      <c r="K12" s="4" t="s">
        <v>30</v>
      </c>
      <c r="L12" s="4" t="s">
        <v>30</v>
      </c>
      <c r="M12" s="4" t="s">
        <v>30</v>
      </c>
      <c r="N12" s="4" t="s">
        <v>30</v>
      </c>
      <c r="O12" s="10">
        <v>67</v>
      </c>
      <c r="P12" s="3"/>
      <c r="Q12" s="3"/>
      <c r="R12" s="3"/>
      <c r="S12" s="6"/>
    </row>
    <row r="13" spans="1:19" ht="13" customHeight="1">
      <c r="A13" s="3" t="s">
        <v>23</v>
      </c>
      <c r="B13" s="17" t="s">
        <v>28</v>
      </c>
      <c r="C13" s="20">
        <v>0</v>
      </c>
      <c r="D13" s="20">
        <v>0</v>
      </c>
      <c r="E13" s="20">
        <v>0</v>
      </c>
      <c r="F13" s="20">
        <v>0</v>
      </c>
      <c r="G13" s="4">
        <v>0</v>
      </c>
      <c r="H13" s="4">
        <v>70</v>
      </c>
      <c r="I13" s="4">
        <v>21</v>
      </c>
      <c r="J13" s="4">
        <v>1</v>
      </c>
      <c r="K13" s="8">
        <v>131</v>
      </c>
      <c r="L13" s="10">
        <v>27</v>
      </c>
      <c r="M13" s="10">
        <v>85</v>
      </c>
      <c r="N13" s="10">
        <v>97</v>
      </c>
      <c r="O13" s="10">
        <v>208</v>
      </c>
      <c r="P13" s="3"/>
      <c r="Q13" s="3"/>
      <c r="R13" s="3"/>
      <c r="S13" s="6"/>
    </row>
    <row r="14" spans="1:19" ht="13" customHeight="1">
      <c r="A14" s="3" t="s">
        <v>24</v>
      </c>
      <c r="B14" s="17" t="s">
        <v>28</v>
      </c>
      <c r="C14" s="4">
        <v>408</v>
      </c>
      <c r="D14" s="20">
        <v>391</v>
      </c>
      <c r="E14" s="4">
        <v>399</v>
      </c>
      <c r="F14" s="4">
        <v>366</v>
      </c>
      <c r="G14" s="4">
        <v>309</v>
      </c>
      <c r="H14" s="4">
        <v>327</v>
      </c>
      <c r="I14" s="4">
        <v>397</v>
      </c>
      <c r="J14" s="4">
        <v>601</v>
      </c>
      <c r="K14" s="8">
        <v>696</v>
      </c>
      <c r="L14" s="10">
        <v>770</v>
      </c>
      <c r="M14" s="23">
        <v>511</v>
      </c>
      <c r="N14" s="10">
        <v>339</v>
      </c>
      <c r="O14" s="10">
        <v>253</v>
      </c>
      <c r="P14" s="11"/>
      <c r="Q14" s="11"/>
      <c r="R14" s="15"/>
      <c r="S14" s="6"/>
    </row>
    <row r="15" spans="1:19" ht="13" customHeight="1">
      <c r="A15" s="3" t="s">
        <v>25</v>
      </c>
      <c r="B15" s="17" t="s">
        <v>28</v>
      </c>
      <c r="C15" s="4">
        <v>6</v>
      </c>
      <c r="D15" s="20">
        <v>3</v>
      </c>
      <c r="E15" s="4">
        <v>0</v>
      </c>
      <c r="F15" s="4">
        <v>3</v>
      </c>
      <c r="G15" s="4">
        <v>3</v>
      </c>
      <c r="H15" s="20">
        <v>2</v>
      </c>
      <c r="I15" s="4">
        <v>0</v>
      </c>
      <c r="J15" s="4">
        <v>217</v>
      </c>
      <c r="K15" s="8">
        <v>3</v>
      </c>
      <c r="L15" s="10">
        <v>484</v>
      </c>
      <c r="M15" s="23">
        <v>218</v>
      </c>
      <c r="N15" s="10">
        <v>98</v>
      </c>
      <c r="O15" s="10">
        <v>332</v>
      </c>
      <c r="P15" s="16"/>
      <c r="Q15" s="16"/>
      <c r="R15" s="7"/>
      <c r="S15" s="6"/>
    </row>
    <row r="16" spans="1:19" ht="13" customHeight="1">
      <c r="A16" s="3" t="s">
        <v>26</v>
      </c>
      <c r="B16" s="17" t="s">
        <v>28</v>
      </c>
      <c r="C16" s="4" t="s">
        <v>30</v>
      </c>
      <c r="D16" s="4" t="s">
        <v>30</v>
      </c>
      <c r="E16" s="4" t="s">
        <v>30</v>
      </c>
      <c r="F16" s="20">
        <v>0</v>
      </c>
      <c r="G16" s="4">
        <v>44</v>
      </c>
      <c r="H16" s="4">
        <v>279</v>
      </c>
      <c r="I16" s="4">
        <v>617</v>
      </c>
      <c r="J16" s="4">
        <v>359</v>
      </c>
      <c r="K16" s="8">
        <v>313</v>
      </c>
      <c r="L16" s="24">
        <v>513</v>
      </c>
      <c r="M16" s="24">
        <v>473</v>
      </c>
      <c r="N16" s="24">
        <v>186</v>
      </c>
      <c r="O16" s="24">
        <v>518</v>
      </c>
      <c r="P16" s="16"/>
      <c r="Q16" s="16"/>
      <c r="R16" s="7"/>
      <c r="S16" s="6"/>
    </row>
    <row r="17" spans="1:19" ht="13" customHeight="1">
      <c r="A17" s="3" t="s">
        <v>19</v>
      </c>
      <c r="B17" s="17" t="s">
        <v>27</v>
      </c>
      <c r="C17" s="4">
        <v>337</v>
      </c>
      <c r="D17" s="4">
        <v>272</v>
      </c>
      <c r="E17" s="4">
        <v>303</v>
      </c>
      <c r="F17" s="4">
        <v>404</v>
      </c>
      <c r="G17" s="4">
        <v>367</v>
      </c>
      <c r="H17" s="4">
        <v>484</v>
      </c>
      <c r="I17" s="4">
        <v>333</v>
      </c>
      <c r="J17" s="4">
        <v>484</v>
      </c>
      <c r="K17" s="3">
        <v>635</v>
      </c>
      <c r="L17" s="4">
        <v>723</v>
      </c>
      <c r="M17" s="4">
        <v>900</v>
      </c>
      <c r="N17" s="4">
        <v>846</v>
      </c>
      <c r="O17" s="4">
        <v>760</v>
      </c>
      <c r="P17" s="3"/>
      <c r="Q17" s="3"/>
      <c r="R17" s="9"/>
      <c r="S17" s="6"/>
    </row>
    <row r="18" spans="1:19" ht="13" customHeight="1">
      <c r="A18" s="3" t="s">
        <v>18</v>
      </c>
      <c r="B18" s="17" t="s">
        <v>27</v>
      </c>
      <c r="C18" s="4" t="s">
        <v>30</v>
      </c>
      <c r="D18" s="4" t="s">
        <v>30</v>
      </c>
      <c r="E18" s="4" t="s">
        <v>30</v>
      </c>
      <c r="F18" s="4" t="s">
        <v>30</v>
      </c>
      <c r="G18" s="4" t="s">
        <v>30</v>
      </c>
      <c r="H18" s="4" t="s">
        <v>30</v>
      </c>
      <c r="I18" s="4" t="s">
        <v>30</v>
      </c>
      <c r="J18" s="4" t="s">
        <v>30</v>
      </c>
      <c r="K18" s="4" t="s">
        <v>30</v>
      </c>
      <c r="L18" s="4">
        <v>12</v>
      </c>
      <c r="M18" s="4">
        <v>104</v>
      </c>
      <c r="N18" s="4">
        <v>217</v>
      </c>
      <c r="O18" s="4">
        <v>292</v>
      </c>
      <c r="P18" s="3"/>
      <c r="Q18" s="3"/>
      <c r="R18" s="9"/>
      <c r="S18" s="6"/>
    </row>
    <row r="22" spans="1:19" ht="14" thickBot="1"/>
    <row r="23" spans="1:19" ht="14" thickTop="1">
      <c r="A23" s="45" t="s">
        <v>33</v>
      </c>
      <c r="B23" s="45" t="s">
        <v>34</v>
      </c>
      <c r="C23" s="45" t="s">
        <v>35</v>
      </c>
      <c r="D23" s="27" t="s">
        <v>31</v>
      </c>
      <c r="E23" s="27" t="s">
        <v>37</v>
      </c>
      <c r="F23" s="27" t="s">
        <v>38</v>
      </c>
      <c r="G23" s="27" t="s">
        <v>39</v>
      </c>
      <c r="H23" s="27" t="s">
        <v>37</v>
      </c>
      <c r="I23" s="27" t="s">
        <v>38</v>
      </c>
      <c r="J23" s="27" t="s">
        <v>37</v>
      </c>
      <c r="K23" s="27" t="s">
        <v>37</v>
      </c>
      <c r="L23" s="27" t="s">
        <v>40</v>
      </c>
      <c r="M23" s="27" t="s">
        <v>41</v>
      </c>
      <c r="N23" s="45" t="s">
        <v>42</v>
      </c>
      <c r="O23" s="45" t="s">
        <v>43</v>
      </c>
      <c r="P23" s="45" t="s">
        <v>44</v>
      </c>
      <c r="Q23" s="27" t="s">
        <v>38</v>
      </c>
    </row>
    <row r="24" spans="1:19" ht="14" customHeight="1">
      <c r="A24" s="46"/>
      <c r="B24" s="46"/>
      <c r="C24" s="46"/>
      <c r="D24" s="26" t="s">
        <v>36</v>
      </c>
      <c r="E24" s="29">
        <v>26114</v>
      </c>
      <c r="F24" s="29">
        <v>26848</v>
      </c>
      <c r="G24" s="31">
        <v>41820</v>
      </c>
      <c r="H24" s="31">
        <v>41821</v>
      </c>
      <c r="I24" s="31">
        <v>41823</v>
      </c>
      <c r="J24" s="31">
        <v>41823</v>
      </c>
      <c r="K24" s="29">
        <v>34516</v>
      </c>
      <c r="L24" s="29">
        <v>35980</v>
      </c>
      <c r="M24" s="31">
        <v>41826</v>
      </c>
      <c r="N24" s="46"/>
      <c r="O24" s="46"/>
      <c r="P24" s="46"/>
      <c r="Q24" s="29">
        <v>41457</v>
      </c>
    </row>
    <row r="25" spans="1:19" ht="15" thickBot="1">
      <c r="A25" s="47"/>
      <c r="B25" s="47"/>
      <c r="C25" s="47"/>
      <c r="D25" s="28"/>
      <c r="E25" s="30"/>
      <c r="F25" s="30"/>
      <c r="G25" s="32">
        <v>1977</v>
      </c>
      <c r="H25" s="32">
        <v>1982</v>
      </c>
      <c r="I25" s="32">
        <v>1987</v>
      </c>
      <c r="J25" s="32">
        <v>1992</v>
      </c>
      <c r="K25" s="30"/>
      <c r="L25" s="30"/>
      <c r="M25" s="32">
        <v>2002</v>
      </c>
      <c r="N25" s="47"/>
      <c r="O25" s="47"/>
      <c r="P25" s="47"/>
      <c r="Q25" s="30"/>
    </row>
    <row r="26" spans="1:19" ht="14" thickTop="1"/>
  </sheetData>
  <mergeCells count="6">
    <mergeCell ref="P23:P25"/>
    <mergeCell ref="A23:A25"/>
    <mergeCell ref="B23:B25"/>
    <mergeCell ref="C23:C25"/>
    <mergeCell ref="N23:N25"/>
    <mergeCell ref="O23:O25"/>
  </mergeCells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4"/>
  <sheetViews>
    <sheetView topLeftCell="A29" workbookViewId="0">
      <selection activeCell="J64" sqref="J64"/>
    </sheetView>
  </sheetViews>
  <sheetFormatPr baseColWidth="10" defaultColWidth="8.83203125" defaultRowHeight="14" x14ac:dyDescent="0"/>
  <sheetData>
    <row r="1" spans="1:43" ht="15" thickTop="1">
      <c r="A1" s="45" t="s">
        <v>33</v>
      </c>
      <c r="B1" s="45" t="s">
        <v>34</v>
      </c>
      <c r="C1" s="45"/>
      <c r="D1" s="45"/>
      <c r="E1" s="45" t="s">
        <v>35</v>
      </c>
      <c r="F1" s="45"/>
      <c r="G1" s="45"/>
      <c r="H1" s="45"/>
      <c r="I1" s="45"/>
      <c r="J1" s="27" t="s">
        <v>31</v>
      </c>
      <c r="K1" s="27" t="s">
        <v>37</v>
      </c>
      <c r="L1" s="27" t="s">
        <v>38</v>
      </c>
      <c r="M1" s="27" t="s">
        <v>39</v>
      </c>
      <c r="N1" s="27" t="s">
        <v>37</v>
      </c>
      <c r="O1" s="27" t="s">
        <v>38</v>
      </c>
      <c r="P1" s="27" t="s">
        <v>37</v>
      </c>
      <c r="Q1" s="27" t="s">
        <v>37</v>
      </c>
      <c r="R1" s="27" t="s">
        <v>40</v>
      </c>
      <c r="S1" s="27" t="s">
        <v>41</v>
      </c>
      <c r="T1" s="45" t="s">
        <v>42</v>
      </c>
      <c r="U1" s="45" t="s">
        <v>43</v>
      </c>
      <c r="V1" s="45" t="s">
        <v>44</v>
      </c>
      <c r="W1" s="27" t="s">
        <v>38</v>
      </c>
      <c r="Y1" s="45" t="s">
        <v>33</v>
      </c>
      <c r="Z1" s="45" t="s">
        <v>34</v>
      </c>
      <c r="AA1" s="45"/>
      <c r="AB1" s="45" t="s">
        <v>35</v>
      </c>
      <c r="AC1" s="45"/>
      <c r="AD1" s="27" t="s">
        <v>31</v>
      </c>
      <c r="AE1" s="27" t="s">
        <v>129</v>
      </c>
      <c r="AF1" s="27" t="s">
        <v>130</v>
      </c>
      <c r="AG1" s="27" t="s">
        <v>131</v>
      </c>
      <c r="AH1" s="27" t="s">
        <v>129</v>
      </c>
      <c r="AI1" s="27" t="s">
        <v>130</v>
      </c>
      <c r="AJ1" s="27" t="s">
        <v>129</v>
      </c>
      <c r="AK1" s="27" t="s">
        <v>129</v>
      </c>
      <c r="AL1" s="27" t="s">
        <v>132</v>
      </c>
      <c r="AM1" s="27" t="s">
        <v>133</v>
      </c>
      <c r="AN1" s="45" t="s">
        <v>134</v>
      </c>
      <c r="AO1" s="45" t="s">
        <v>135</v>
      </c>
      <c r="AP1" s="45" t="s">
        <v>136</v>
      </c>
      <c r="AQ1" s="27" t="s">
        <v>130</v>
      </c>
    </row>
    <row r="2" spans="1:43">
      <c r="A2" s="46"/>
      <c r="B2" s="46"/>
      <c r="C2" s="46"/>
      <c r="D2" s="46"/>
      <c r="E2" s="46"/>
      <c r="F2" s="46"/>
      <c r="G2" s="46"/>
      <c r="H2" s="46"/>
      <c r="I2" s="46"/>
      <c r="J2" s="26" t="s">
        <v>36</v>
      </c>
      <c r="K2" s="29">
        <v>26114</v>
      </c>
      <c r="L2" s="29">
        <v>26848</v>
      </c>
      <c r="M2" s="31">
        <v>41820</v>
      </c>
      <c r="N2" s="31">
        <v>41821</v>
      </c>
      <c r="O2" s="31">
        <v>41823</v>
      </c>
      <c r="P2" s="31">
        <v>41823</v>
      </c>
      <c r="Q2" s="29">
        <v>34516</v>
      </c>
      <c r="R2" s="29">
        <v>35980</v>
      </c>
      <c r="S2" s="31">
        <v>41826</v>
      </c>
      <c r="T2" s="46"/>
      <c r="U2" s="46"/>
      <c r="V2" s="46"/>
      <c r="W2" s="29">
        <v>41457</v>
      </c>
      <c r="Y2" s="46"/>
      <c r="Z2" s="46"/>
      <c r="AA2" s="46"/>
      <c r="AB2" s="46"/>
      <c r="AC2" s="46"/>
      <c r="AD2" s="26" t="s">
        <v>36</v>
      </c>
      <c r="AE2" s="29">
        <v>26114</v>
      </c>
      <c r="AF2" s="29">
        <v>26848</v>
      </c>
      <c r="AG2" s="31">
        <v>41820</v>
      </c>
      <c r="AH2" s="31">
        <v>41821</v>
      </c>
      <c r="AI2" s="31">
        <v>41823</v>
      </c>
      <c r="AJ2" s="31">
        <v>41823</v>
      </c>
      <c r="AK2" s="29">
        <v>34516</v>
      </c>
      <c r="AL2" s="29">
        <v>35980</v>
      </c>
      <c r="AM2" s="31">
        <v>41826</v>
      </c>
      <c r="AN2" s="46"/>
      <c r="AO2" s="46"/>
      <c r="AP2" s="46"/>
      <c r="AQ2" s="29">
        <v>41457</v>
      </c>
    </row>
    <row r="3" spans="1:43" ht="15" thickBot="1">
      <c r="A3" s="47"/>
      <c r="B3" s="47"/>
      <c r="C3" s="47"/>
      <c r="D3" s="47"/>
      <c r="E3" s="47"/>
      <c r="F3" s="47"/>
      <c r="G3" s="47"/>
      <c r="H3" s="47"/>
      <c r="I3" s="47"/>
      <c r="J3" s="28"/>
      <c r="K3" s="30"/>
      <c r="L3" s="30"/>
      <c r="M3" s="32">
        <v>1977</v>
      </c>
      <c r="N3" s="32">
        <v>1982</v>
      </c>
      <c r="O3" s="32">
        <v>1987</v>
      </c>
      <c r="P3" s="32">
        <v>1992</v>
      </c>
      <c r="Q3" s="30"/>
      <c r="R3" s="30"/>
      <c r="S3" s="32">
        <v>2002</v>
      </c>
      <c r="T3" s="47"/>
      <c r="U3" s="47"/>
      <c r="V3" s="47"/>
      <c r="W3" s="30"/>
      <c r="Y3" s="47"/>
      <c r="Z3" s="47"/>
      <c r="AA3" s="47"/>
      <c r="AB3" s="47"/>
      <c r="AC3" s="47"/>
      <c r="AD3" s="28"/>
      <c r="AE3" s="30"/>
      <c r="AF3" s="30"/>
      <c r="AG3" s="32">
        <v>1977</v>
      </c>
      <c r="AH3" s="32">
        <v>1982</v>
      </c>
      <c r="AI3" s="32">
        <v>1987</v>
      </c>
      <c r="AJ3" s="32">
        <v>1992</v>
      </c>
      <c r="AK3" s="30"/>
      <c r="AL3" s="30"/>
      <c r="AM3" s="32">
        <v>2002</v>
      </c>
      <c r="AN3" s="47"/>
      <c r="AO3" s="47"/>
      <c r="AP3" s="47"/>
      <c r="AQ3" s="30"/>
    </row>
    <row r="4" spans="1:43" ht="15" customHeight="1" thickTop="1">
      <c r="A4" s="48" t="s">
        <v>45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Y4" s="48" t="s">
        <v>137</v>
      </c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</row>
    <row r="5" spans="1:43">
      <c r="A5" s="52" t="s">
        <v>46</v>
      </c>
      <c r="B5" s="52"/>
      <c r="C5" s="33" t="s">
        <v>47</v>
      </c>
      <c r="D5" s="52" t="s">
        <v>48</v>
      </c>
      <c r="E5" s="52"/>
      <c r="F5" s="33" t="s">
        <v>49</v>
      </c>
      <c r="G5" s="52" t="s">
        <v>50</v>
      </c>
      <c r="H5" s="52"/>
      <c r="I5" s="53" t="s">
        <v>51</v>
      </c>
      <c r="J5" s="53"/>
      <c r="K5" s="34">
        <v>0</v>
      </c>
      <c r="L5" s="34">
        <v>0</v>
      </c>
      <c r="M5" s="34">
        <v>181</v>
      </c>
      <c r="N5" s="34">
        <v>170</v>
      </c>
      <c r="O5" s="34">
        <v>146</v>
      </c>
      <c r="P5" s="34">
        <v>103</v>
      </c>
      <c r="Q5" s="34">
        <v>150</v>
      </c>
      <c r="R5" s="34">
        <v>255</v>
      </c>
      <c r="S5" s="34">
        <v>237</v>
      </c>
      <c r="T5" s="34">
        <v>247</v>
      </c>
      <c r="U5" s="34">
        <v>162</v>
      </c>
      <c r="V5" s="34">
        <v>514</v>
      </c>
      <c r="W5" s="34">
        <v>1027</v>
      </c>
      <c r="Y5" s="33" t="s">
        <v>138</v>
      </c>
      <c r="Z5" s="33" t="s">
        <v>139</v>
      </c>
      <c r="AA5" s="33" t="s">
        <v>140</v>
      </c>
      <c r="AB5" s="33" t="s">
        <v>96</v>
      </c>
      <c r="AC5" s="33" t="s">
        <v>141</v>
      </c>
      <c r="AD5" s="34" t="s">
        <v>103</v>
      </c>
      <c r="AE5" s="33">
        <v>317</v>
      </c>
      <c r="AF5" s="33">
        <v>205</v>
      </c>
      <c r="AG5" s="33">
        <v>62</v>
      </c>
      <c r="AH5" s="33">
        <v>190</v>
      </c>
      <c r="AI5" s="33">
        <v>229</v>
      </c>
      <c r="AJ5" s="33">
        <v>157</v>
      </c>
      <c r="AK5" s="33">
        <v>131</v>
      </c>
      <c r="AL5" s="33">
        <v>168</v>
      </c>
      <c r="AM5" s="33">
        <v>419</v>
      </c>
      <c r="AN5" s="33">
        <v>516</v>
      </c>
      <c r="AO5" s="33">
        <v>595</v>
      </c>
      <c r="AP5" s="33">
        <v>533</v>
      </c>
      <c r="AQ5" s="33">
        <v>1086</v>
      </c>
    </row>
    <row r="6" spans="1:43">
      <c r="A6" s="52" t="s">
        <v>52</v>
      </c>
      <c r="B6" s="52"/>
      <c r="C6" s="33" t="s">
        <v>47</v>
      </c>
      <c r="D6" s="52" t="s">
        <v>53</v>
      </c>
      <c r="E6" s="52"/>
      <c r="F6" s="33" t="s">
        <v>54</v>
      </c>
      <c r="G6" s="52" t="s">
        <v>55</v>
      </c>
      <c r="H6" s="52"/>
      <c r="I6" s="53" t="s">
        <v>51</v>
      </c>
      <c r="J6" s="53"/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44</v>
      </c>
      <c r="U6" s="34">
        <v>53</v>
      </c>
      <c r="V6" s="34">
        <v>166</v>
      </c>
      <c r="W6" s="34">
        <v>146</v>
      </c>
      <c r="Y6" s="33" t="s">
        <v>142</v>
      </c>
      <c r="Z6" s="33" t="s">
        <v>139</v>
      </c>
      <c r="AA6" s="33" t="s">
        <v>143</v>
      </c>
      <c r="AB6" s="33" t="s">
        <v>96</v>
      </c>
      <c r="AC6" s="33" t="s">
        <v>144</v>
      </c>
      <c r="AD6" s="34" t="s">
        <v>66</v>
      </c>
      <c r="AE6" s="33">
        <v>100</v>
      </c>
      <c r="AF6" s="33">
        <v>81</v>
      </c>
      <c r="AG6" s="33">
        <v>276</v>
      </c>
      <c r="AH6" s="33">
        <v>23</v>
      </c>
      <c r="AI6" s="33">
        <v>128</v>
      </c>
      <c r="AJ6" s="33">
        <v>126</v>
      </c>
      <c r="AK6" s="33">
        <v>98</v>
      </c>
      <c r="AL6" s="33">
        <v>199</v>
      </c>
      <c r="AM6" s="33">
        <v>467</v>
      </c>
      <c r="AN6" s="33">
        <v>449</v>
      </c>
      <c r="AO6" s="33">
        <v>247</v>
      </c>
      <c r="AP6" s="33">
        <v>263</v>
      </c>
      <c r="AQ6" s="33">
        <v>385</v>
      </c>
    </row>
    <row r="7" spans="1:43" ht="20">
      <c r="A7" s="52" t="s">
        <v>56</v>
      </c>
      <c r="B7" s="52"/>
      <c r="C7" s="33" t="s">
        <v>47</v>
      </c>
      <c r="D7" s="52" t="s">
        <v>57</v>
      </c>
      <c r="E7" s="52"/>
      <c r="F7" s="33" t="s">
        <v>54</v>
      </c>
      <c r="G7" s="52" t="s">
        <v>58</v>
      </c>
      <c r="H7" s="52"/>
      <c r="I7" s="53" t="s">
        <v>51</v>
      </c>
      <c r="J7" s="53"/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31</v>
      </c>
      <c r="T7" s="34">
        <v>4</v>
      </c>
      <c r="U7" s="34">
        <v>48</v>
      </c>
      <c r="V7" s="34">
        <v>89</v>
      </c>
      <c r="W7" s="34">
        <v>103</v>
      </c>
      <c r="Y7" s="33" t="s">
        <v>145</v>
      </c>
      <c r="Z7" s="33" t="s">
        <v>139</v>
      </c>
      <c r="AA7" s="33" t="s">
        <v>146</v>
      </c>
      <c r="AB7" s="33" t="s">
        <v>96</v>
      </c>
      <c r="AC7" s="33" t="s">
        <v>147</v>
      </c>
      <c r="AD7" s="34" t="s">
        <v>66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64</v>
      </c>
    </row>
    <row r="8" spans="1:43" ht="20">
      <c r="A8" s="52" t="s">
        <v>59</v>
      </c>
      <c r="B8" s="52"/>
      <c r="C8" s="33" t="s">
        <v>47</v>
      </c>
      <c r="D8" s="52" t="s">
        <v>60</v>
      </c>
      <c r="E8" s="52"/>
      <c r="F8" s="33" t="s">
        <v>54</v>
      </c>
      <c r="G8" s="52" t="s">
        <v>61</v>
      </c>
      <c r="H8" s="52"/>
      <c r="I8" s="53" t="s">
        <v>51</v>
      </c>
      <c r="J8" s="53"/>
      <c r="K8" s="34">
        <v>0</v>
      </c>
      <c r="L8" s="34">
        <v>0</v>
      </c>
      <c r="M8" s="34">
        <v>0</v>
      </c>
      <c r="N8" s="34">
        <v>3</v>
      </c>
      <c r="O8" s="34">
        <v>0</v>
      </c>
      <c r="P8" s="34">
        <v>0</v>
      </c>
      <c r="Q8" s="34">
        <v>41</v>
      </c>
      <c r="R8" s="34">
        <v>87</v>
      </c>
      <c r="S8" s="34">
        <v>296</v>
      </c>
      <c r="T8" s="34">
        <v>264</v>
      </c>
      <c r="U8" s="34">
        <v>376</v>
      </c>
      <c r="V8" s="34">
        <v>514</v>
      </c>
      <c r="W8" s="34">
        <v>354</v>
      </c>
      <c r="Y8" s="33" t="s">
        <v>148</v>
      </c>
      <c r="Z8" s="33" t="s">
        <v>139</v>
      </c>
      <c r="AA8" s="33" t="s">
        <v>149</v>
      </c>
      <c r="AB8" s="33" t="s">
        <v>96</v>
      </c>
      <c r="AC8" s="33" t="s">
        <v>150</v>
      </c>
      <c r="AD8" s="34" t="s">
        <v>103</v>
      </c>
      <c r="AE8" s="33">
        <v>106</v>
      </c>
      <c r="AF8" s="33">
        <v>-93</v>
      </c>
      <c r="AG8" s="33">
        <v>37</v>
      </c>
      <c r="AH8" s="33">
        <v>179</v>
      </c>
      <c r="AI8" s="33">
        <v>135</v>
      </c>
      <c r="AJ8" s="33">
        <v>72</v>
      </c>
      <c r="AK8" s="33">
        <v>192</v>
      </c>
      <c r="AL8" s="33">
        <v>133</v>
      </c>
      <c r="AM8" s="33">
        <v>160</v>
      </c>
      <c r="AN8" s="33">
        <v>257</v>
      </c>
      <c r="AO8" s="33">
        <v>308</v>
      </c>
      <c r="AP8" s="33">
        <v>439</v>
      </c>
      <c r="AQ8" s="33">
        <v>450</v>
      </c>
    </row>
    <row r="9" spans="1:43" ht="20">
      <c r="A9" s="52" t="s">
        <v>62</v>
      </c>
      <c r="B9" s="52"/>
      <c r="C9" s="33" t="s">
        <v>63</v>
      </c>
      <c r="D9" s="52" t="s">
        <v>64</v>
      </c>
      <c r="E9" s="52"/>
      <c r="F9" s="33" t="s">
        <v>54</v>
      </c>
      <c r="G9" s="52" t="s">
        <v>65</v>
      </c>
      <c r="H9" s="52"/>
      <c r="I9" s="53" t="s">
        <v>66</v>
      </c>
      <c r="J9" s="53"/>
      <c r="K9" s="34">
        <v>394</v>
      </c>
      <c r="L9" s="34">
        <v>265</v>
      </c>
      <c r="M9" s="34">
        <v>10</v>
      </c>
      <c r="N9" s="34">
        <v>262</v>
      </c>
      <c r="O9" s="34">
        <v>231</v>
      </c>
      <c r="P9" s="34">
        <v>344</v>
      </c>
      <c r="Q9" s="34">
        <v>298</v>
      </c>
      <c r="R9" s="34">
        <v>535</v>
      </c>
      <c r="S9" s="34">
        <v>714</v>
      </c>
      <c r="T9" s="34">
        <v>388</v>
      </c>
      <c r="U9" s="34">
        <v>295</v>
      </c>
      <c r="V9" s="34">
        <v>367</v>
      </c>
      <c r="W9" s="34">
        <v>415</v>
      </c>
      <c r="Y9" s="33" t="s">
        <v>151</v>
      </c>
      <c r="Z9" s="33" t="s">
        <v>152</v>
      </c>
      <c r="AA9" s="33" t="s">
        <v>153</v>
      </c>
      <c r="AB9" s="33" t="s">
        <v>96</v>
      </c>
      <c r="AC9" s="33" t="s">
        <v>125</v>
      </c>
      <c r="AD9" s="34" t="s">
        <v>66</v>
      </c>
      <c r="AE9" s="33">
        <v>196</v>
      </c>
      <c r="AF9" s="33">
        <v>-80</v>
      </c>
      <c r="AG9" s="33">
        <v>45</v>
      </c>
      <c r="AH9" s="33">
        <v>0</v>
      </c>
      <c r="AI9" s="33">
        <v>0</v>
      </c>
      <c r="AJ9" s="33">
        <v>109</v>
      </c>
      <c r="AK9" s="33">
        <v>241</v>
      </c>
      <c r="AL9" s="33">
        <v>163</v>
      </c>
      <c r="AM9" s="33">
        <v>25</v>
      </c>
      <c r="AN9" s="33">
        <v>-81</v>
      </c>
      <c r="AO9" s="33">
        <v>263</v>
      </c>
      <c r="AP9" s="33">
        <v>139</v>
      </c>
      <c r="AQ9" s="33">
        <v>254</v>
      </c>
    </row>
    <row r="10" spans="1:43">
      <c r="A10" s="52" t="s">
        <v>67</v>
      </c>
      <c r="B10" s="52"/>
      <c r="C10" s="33" t="s">
        <v>63</v>
      </c>
      <c r="D10" s="52" t="s">
        <v>68</v>
      </c>
      <c r="E10" s="52"/>
      <c r="F10" s="33" t="s">
        <v>54</v>
      </c>
      <c r="G10" s="52" t="s">
        <v>69</v>
      </c>
      <c r="H10" s="52"/>
      <c r="I10" s="53" t="s">
        <v>66</v>
      </c>
      <c r="J10" s="53"/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 t="s">
        <v>70</v>
      </c>
      <c r="T10" s="34">
        <v>0</v>
      </c>
      <c r="U10" s="34">
        <v>0</v>
      </c>
      <c r="V10" s="34">
        <v>0</v>
      </c>
      <c r="W10" s="34">
        <v>150</v>
      </c>
      <c r="Y10" s="33" t="s">
        <v>154</v>
      </c>
      <c r="Z10" s="33" t="s">
        <v>152</v>
      </c>
      <c r="AA10" s="33" t="s">
        <v>155</v>
      </c>
      <c r="AB10" s="33" t="s">
        <v>112</v>
      </c>
      <c r="AC10" s="33" t="s">
        <v>156</v>
      </c>
      <c r="AD10" s="34" t="s">
        <v>66</v>
      </c>
      <c r="AE10" s="33">
        <v>-88</v>
      </c>
      <c r="AF10" s="33">
        <v>-88</v>
      </c>
      <c r="AG10" s="33">
        <v>85</v>
      </c>
      <c r="AH10" s="33">
        <v>150</v>
      </c>
      <c r="AI10" s="33">
        <v>7</v>
      </c>
      <c r="AJ10" s="33">
        <v>35</v>
      </c>
      <c r="AK10" s="33">
        <v>137</v>
      </c>
      <c r="AL10" s="33">
        <v>227</v>
      </c>
      <c r="AM10" s="33">
        <v>101</v>
      </c>
      <c r="AN10" s="33">
        <v>92</v>
      </c>
      <c r="AO10" s="33">
        <v>194</v>
      </c>
      <c r="AP10" s="33">
        <v>173</v>
      </c>
      <c r="AQ10" s="33">
        <v>230</v>
      </c>
    </row>
    <row r="11" spans="1:43" ht="20">
      <c r="A11" s="52" t="s">
        <v>71</v>
      </c>
      <c r="B11" s="52"/>
      <c r="C11" s="33" t="s">
        <v>63</v>
      </c>
      <c r="D11" s="52" t="s">
        <v>72</v>
      </c>
      <c r="E11" s="52"/>
      <c r="F11" s="33" t="s">
        <v>73</v>
      </c>
      <c r="G11" s="52" t="s">
        <v>74</v>
      </c>
      <c r="H11" s="52"/>
      <c r="I11" s="53" t="s">
        <v>66</v>
      </c>
      <c r="J11" s="53"/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353</v>
      </c>
      <c r="U11" s="34">
        <v>466</v>
      </c>
      <c r="V11" s="34">
        <v>321</v>
      </c>
      <c r="W11" s="34">
        <v>393</v>
      </c>
      <c r="Y11" s="33" t="s">
        <v>157</v>
      </c>
      <c r="Z11" s="33" t="s">
        <v>158</v>
      </c>
      <c r="AA11" s="33" t="s">
        <v>159</v>
      </c>
      <c r="AB11" s="33" t="s">
        <v>112</v>
      </c>
      <c r="AC11" s="33" t="s">
        <v>160</v>
      </c>
      <c r="AD11" s="34" t="s">
        <v>66</v>
      </c>
      <c r="AE11" s="33">
        <v>0</v>
      </c>
      <c r="AF11" s="33">
        <v>0</v>
      </c>
      <c r="AG11" s="33">
        <v>0</v>
      </c>
      <c r="AH11" s="33">
        <v>-13</v>
      </c>
      <c r="AI11" s="33">
        <v>-13</v>
      </c>
      <c r="AJ11" s="33">
        <v>25</v>
      </c>
      <c r="AK11" s="33">
        <v>-13</v>
      </c>
      <c r="AL11" s="33">
        <v>0</v>
      </c>
      <c r="AM11" s="33">
        <v>0</v>
      </c>
      <c r="AN11" s="33">
        <v>0</v>
      </c>
      <c r="AO11" s="33">
        <v>0</v>
      </c>
      <c r="AP11" s="33">
        <v>17</v>
      </c>
      <c r="AQ11" s="33">
        <v>536</v>
      </c>
    </row>
    <row r="12" spans="1:43" ht="20">
      <c r="A12" s="52" t="s">
        <v>75</v>
      </c>
      <c r="B12" s="52"/>
      <c r="C12" s="33" t="s">
        <v>63</v>
      </c>
      <c r="D12" s="52" t="s">
        <v>76</v>
      </c>
      <c r="E12" s="52"/>
      <c r="F12" s="33" t="s">
        <v>73</v>
      </c>
      <c r="G12" s="52" t="s">
        <v>77</v>
      </c>
      <c r="H12" s="52"/>
      <c r="I12" s="53" t="s">
        <v>78</v>
      </c>
      <c r="J12" s="53"/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58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Y12" s="35" t="s">
        <v>161</v>
      </c>
      <c r="Z12" s="35"/>
      <c r="AA12" s="35"/>
      <c r="AB12" s="35"/>
      <c r="AC12" s="35"/>
      <c r="AD12" s="36"/>
      <c r="AE12" s="35">
        <v>807</v>
      </c>
      <c r="AF12" s="35">
        <v>547</v>
      </c>
      <c r="AG12" s="35">
        <v>505</v>
      </c>
      <c r="AH12" s="35">
        <v>555</v>
      </c>
      <c r="AI12" s="35">
        <v>512</v>
      </c>
      <c r="AJ12" s="35">
        <v>524</v>
      </c>
      <c r="AK12" s="35">
        <v>812</v>
      </c>
      <c r="AL12" s="35">
        <v>890</v>
      </c>
      <c r="AM12" s="35">
        <v>1172</v>
      </c>
      <c r="AN12" s="35">
        <v>1395</v>
      </c>
      <c r="AO12" s="35">
        <v>1607</v>
      </c>
      <c r="AP12" s="35">
        <v>1564</v>
      </c>
      <c r="AQ12" s="35">
        <v>3005</v>
      </c>
    </row>
    <row r="13" spans="1:43">
      <c r="A13" s="52" t="s">
        <v>79</v>
      </c>
      <c r="B13" s="52"/>
      <c r="C13" s="33" t="s">
        <v>63</v>
      </c>
      <c r="D13" s="52" t="s">
        <v>80</v>
      </c>
      <c r="E13" s="52"/>
      <c r="F13" s="33" t="s">
        <v>73</v>
      </c>
      <c r="G13" s="52" t="s">
        <v>81</v>
      </c>
      <c r="H13" s="52"/>
      <c r="I13" s="53" t="s">
        <v>51</v>
      </c>
      <c r="J13" s="53"/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16</v>
      </c>
      <c r="U13" s="34">
        <v>2</v>
      </c>
      <c r="V13" s="34">
        <v>0</v>
      </c>
      <c r="W13" s="34">
        <v>2</v>
      </c>
      <c r="Y13" s="49" t="s">
        <v>162</v>
      </c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</row>
    <row r="14" spans="1:43">
      <c r="A14" s="52" t="s">
        <v>82</v>
      </c>
      <c r="B14" s="52"/>
      <c r="C14" s="33" t="s">
        <v>83</v>
      </c>
      <c r="D14" s="52" t="s">
        <v>84</v>
      </c>
      <c r="E14" s="52"/>
      <c r="F14" s="33" t="s">
        <v>85</v>
      </c>
      <c r="G14" s="52" t="s">
        <v>86</v>
      </c>
      <c r="H14" s="52"/>
      <c r="I14" s="53" t="s">
        <v>66</v>
      </c>
      <c r="J14" s="53"/>
      <c r="K14" s="34">
        <v>-145</v>
      </c>
      <c r="L14" s="34">
        <v>-145</v>
      </c>
      <c r="M14" s="34">
        <v>105</v>
      </c>
      <c r="N14" s="34">
        <v>153</v>
      </c>
      <c r="O14" s="34">
        <v>149</v>
      </c>
      <c r="P14" s="34">
        <v>274</v>
      </c>
      <c r="Q14" s="34">
        <v>290</v>
      </c>
      <c r="R14" s="34">
        <v>843</v>
      </c>
      <c r="S14" s="34">
        <v>585</v>
      </c>
      <c r="T14" s="34">
        <v>542</v>
      </c>
      <c r="U14" s="34">
        <v>1051</v>
      </c>
      <c r="V14" s="34">
        <v>1284</v>
      </c>
      <c r="W14" s="34">
        <v>1041</v>
      </c>
      <c r="Y14" s="33" t="s">
        <v>163</v>
      </c>
      <c r="Z14" s="33" t="s">
        <v>152</v>
      </c>
      <c r="AA14" s="33" t="s">
        <v>164</v>
      </c>
      <c r="AB14" s="33" t="s">
        <v>112</v>
      </c>
      <c r="AC14" s="33" t="s">
        <v>165</v>
      </c>
      <c r="AD14" s="34" t="s">
        <v>66</v>
      </c>
      <c r="AE14" s="33" t="s">
        <v>30</v>
      </c>
      <c r="AF14" s="33" t="s">
        <v>30</v>
      </c>
      <c r="AG14" s="33" t="s">
        <v>30</v>
      </c>
      <c r="AH14" s="33" t="s">
        <v>30</v>
      </c>
      <c r="AI14" s="33" t="s">
        <v>30</v>
      </c>
      <c r="AJ14" s="33" t="s">
        <v>30</v>
      </c>
      <c r="AK14" s="33" t="s">
        <v>30</v>
      </c>
      <c r="AL14" s="33">
        <v>0</v>
      </c>
      <c r="AM14" s="33">
        <v>72</v>
      </c>
      <c r="AN14" s="33">
        <v>29</v>
      </c>
      <c r="AO14" s="33">
        <v>0</v>
      </c>
      <c r="AP14" s="33">
        <v>109</v>
      </c>
      <c r="AQ14" s="33">
        <v>227</v>
      </c>
    </row>
    <row r="15" spans="1:43">
      <c r="A15" s="52" t="s">
        <v>87</v>
      </c>
      <c r="B15" s="52"/>
      <c r="C15" s="33" t="s">
        <v>83</v>
      </c>
      <c r="D15" s="52" t="s">
        <v>88</v>
      </c>
      <c r="E15" s="52"/>
      <c r="F15" s="33" t="s">
        <v>85</v>
      </c>
      <c r="G15" s="52" t="s">
        <v>89</v>
      </c>
      <c r="H15" s="52"/>
      <c r="I15" s="53" t="s">
        <v>90</v>
      </c>
      <c r="J15" s="53"/>
      <c r="K15" s="34">
        <v>331</v>
      </c>
      <c r="L15" s="34">
        <v>-266</v>
      </c>
      <c r="M15" s="34">
        <v>200</v>
      </c>
      <c r="N15" s="34">
        <v>85</v>
      </c>
      <c r="O15" s="34">
        <v>60</v>
      </c>
      <c r="P15" s="34">
        <v>81</v>
      </c>
      <c r="Q15" s="34">
        <v>14</v>
      </c>
      <c r="R15" s="34">
        <v>74</v>
      </c>
      <c r="S15" s="34">
        <v>2</v>
      </c>
      <c r="T15" s="34">
        <v>141</v>
      </c>
      <c r="U15" s="34">
        <v>0</v>
      </c>
      <c r="V15" s="34">
        <v>0</v>
      </c>
      <c r="W15" s="34">
        <v>0</v>
      </c>
      <c r="Y15" s="33" t="s">
        <v>166</v>
      </c>
      <c r="Z15" s="33" t="s">
        <v>158</v>
      </c>
      <c r="AA15" s="33" t="s">
        <v>167</v>
      </c>
      <c r="AB15" s="33" t="s">
        <v>168</v>
      </c>
      <c r="AC15" s="33" t="s">
        <v>169</v>
      </c>
      <c r="AD15" s="34" t="s">
        <v>66</v>
      </c>
      <c r="AE15" s="33" t="s">
        <v>30</v>
      </c>
      <c r="AF15" s="33" t="s">
        <v>30</v>
      </c>
      <c r="AG15" s="33" t="s">
        <v>30</v>
      </c>
      <c r="AH15" s="33" t="s">
        <v>30</v>
      </c>
      <c r="AI15" s="33" t="s">
        <v>30</v>
      </c>
      <c r="AJ15" s="33" t="s">
        <v>30</v>
      </c>
      <c r="AK15" s="33" t="s">
        <v>30</v>
      </c>
      <c r="AL15" s="33" t="s">
        <v>30</v>
      </c>
      <c r="AM15" s="33" t="s">
        <v>30</v>
      </c>
      <c r="AN15" s="33" t="s">
        <v>30</v>
      </c>
      <c r="AO15" s="33">
        <v>0</v>
      </c>
      <c r="AP15" s="33">
        <v>128</v>
      </c>
      <c r="AQ15" s="33">
        <v>321</v>
      </c>
    </row>
    <row r="16" spans="1:43" ht="20">
      <c r="A16" s="52" t="s">
        <v>91</v>
      </c>
      <c r="B16" s="52"/>
      <c r="C16" s="33" t="s">
        <v>83</v>
      </c>
      <c r="D16" s="52" t="s">
        <v>92</v>
      </c>
      <c r="E16" s="52"/>
      <c r="F16" s="33" t="s">
        <v>85</v>
      </c>
      <c r="G16" s="52" t="s">
        <v>93</v>
      </c>
      <c r="H16" s="52"/>
      <c r="I16" s="53" t="s">
        <v>51</v>
      </c>
      <c r="J16" s="53"/>
      <c r="K16" s="34">
        <v>0</v>
      </c>
      <c r="L16" s="34">
        <v>3</v>
      </c>
      <c r="M16" s="34">
        <v>1</v>
      </c>
      <c r="N16" s="34">
        <v>0</v>
      </c>
      <c r="O16" s="34">
        <v>0</v>
      </c>
      <c r="P16" s="34">
        <v>51</v>
      </c>
      <c r="Q16" s="34">
        <v>419</v>
      </c>
      <c r="R16" s="34">
        <v>179</v>
      </c>
      <c r="S16" s="34">
        <v>187</v>
      </c>
      <c r="T16" s="34">
        <v>876</v>
      </c>
      <c r="U16" s="34">
        <v>320</v>
      </c>
      <c r="V16" s="34">
        <v>632</v>
      </c>
      <c r="W16" s="34">
        <v>338</v>
      </c>
      <c r="Y16" s="33" t="s">
        <v>170</v>
      </c>
      <c r="Z16" s="33" t="s">
        <v>158</v>
      </c>
      <c r="AA16" s="33" t="s">
        <v>171</v>
      </c>
      <c r="AB16" s="33" t="s">
        <v>168</v>
      </c>
      <c r="AC16" s="33" t="s">
        <v>172</v>
      </c>
      <c r="AD16" s="34" t="s">
        <v>103</v>
      </c>
      <c r="AE16" s="33">
        <v>148</v>
      </c>
      <c r="AF16" s="33">
        <v>347</v>
      </c>
      <c r="AG16" s="33">
        <v>230</v>
      </c>
      <c r="AH16" s="33">
        <v>288</v>
      </c>
      <c r="AI16" s="33">
        <v>339</v>
      </c>
      <c r="AJ16" s="33">
        <v>301</v>
      </c>
      <c r="AK16" s="33">
        <v>309</v>
      </c>
      <c r="AL16" s="33">
        <v>583</v>
      </c>
      <c r="AM16" s="33">
        <v>592</v>
      </c>
      <c r="AN16" s="33">
        <v>1003</v>
      </c>
      <c r="AO16" s="33">
        <v>652</v>
      </c>
      <c r="AP16" s="33">
        <v>527</v>
      </c>
      <c r="AQ16" s="33">
        <v>674</v>
      </c>
    </row>
    <row r="17" spans="1:43" ht="20">
      <c r="A17" s="52" t="s">
        <v>94</v>
      </c>
      <c r="B17" s="52"/>
      <c r="C17" s="33" t="s">
        <v>83</v>
      </c>
      <c r="D17" s="52" t="s">
        <v>95</v>
      </c>
      <c r="E17" s="52"/>
      <c r="F17" s="33" t="s">
        <v>96</v>
      </c>
      <c r="G17" s="52" t="s">
        <v>97</v>
      </c>
      <c r="H17" s="52"/>
      <c r="I17" s="53" t="s">
        <v>78</v>
      </c>
      <c r="J17" s="53"/>
      <c r="K17" s="34">
        <v>0</v>
      </c>
      <c r="L17" s="34">
        <v>0</v>
      </c>
      <c r="M17" s="34">
        <v>1</v>
      </c>
      <c r="N17" s="34">
        <v>0</v>
      </c>
      <c r="O17" s="34">
        <v>1</v>
      </c>
      <c r="P17" s="34">
        <v>42</v>
      </c>
      <c r="Q17" s="34">
        <v>68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Y17" s="33" t="s">
        <v>173</v>
      </c>
      <c r="Z17" s="33" t="s">
        <v>158</v>
      </c>
      <c r="AA17" s="33" t="s">
        <v>174</v>
      </c>
      <c r="AB17" s="33" t="s">
        <v>168</v>
      </c>
      <c r="AC17" s="33" t="s">
        <v>175</v>
      </c>
      <c r="AD17" s="34" t="s">
        <v>103</v>
      </c>
      <c r="AE17" s="33">
        <v>29</v>
      </c>
      <c r="AF17" s="33">
        <v>158</v>
      </c>
      <c r="AG17" s="33">
        <v>333</v>
      </c>
      <c r="AH17" s="33">
        <v>219</v>
      </c>
      <c r="AI17" s="33">
        <v>19</v>
      </c>
      <c r="AJ17" s="33">
        <v>265</v>
      </c>
      <c r="AK17" s="33">
        <v>272</v>
      </c>
      <c r="AL17" s="33">
        <v>303</v>
      </c>
      <c r="AM17" s="33">
        <v>215</v>
      </c>
      <c r="AN17" s="33">
        <v>375</v>
      </c>
      <c r="AO17" s="33">
        <v>282</v>
      </c>
      <c r="AP17" s="33">
        <v>508</v>
      </c>
      <c r="AQ17" s="33">
        <v>301</v>
      </c>
    </row>
    <row r="18" spans="1:43" ht="20">
      <c r="A18" s="54" t="s">
        <v>98</v>
      </c>
      <c r="B18" s="54"/>
      <c r="C18" s="35"/>
      <c r="D18" s="54"/>
      <c r="E18" s="54"/>
      <c r="F18" s="35"/>
      <c r="G18" s="54"/>
      <c r="H18" s="54"/>
      <c r="I18" s="55"/>
      <c r="J18" s="55"/>
      <c r="K18" s="36">
        <v>870</v>
      </c>
      <c r="L18" s="36">
        <v>679</v>
      </c>
      <c r="M18" s="36">
        <v>498</v>
      </c>
      <c r="N18" s="36">
        <v>673</v>
      </c>
      <c r="O18" s="36">
        <v>587</v>
      </c>
      <c r="P18" s="36">
        <v>895</v>
      </c>
      <c r="Q18" s="36">
        <v>1338</v>
      </c>
      <c r="R18" s="36">
        <v>1973</v>
      </c>
      <c r="S18" s="36">
        <v>2052</v>
      </c>
      <c r="T18" s="36">
        <v>2875</v>
      </c>
      <c r="U18" s="36">
        <v>2773</v>
      </c>
      <c r="V18" s="36">
        <v>3887</v>
      </c>
      <c r="W18" s="36">
        <v>3969</v>
      </c>
      <c r="Y18" s="33" t="s">
        <v>176</v>
      </c>
      <c r="Z18" s="33" t="s">
        <v>177</v>
      </c>
      <c r="AA18" s="33" t="s">
        <v>178</v>
      </c>
      <c r="AB18" s="33" t="s">
        <v>168</v>
      </c>
      <c r="AC18" s="33" t="s">
        <v>179</v>
      </c>
      <c r="AD18" s="34" t="s">
        <v>66</v>
      </c>
      <c r="AE18" s="33" t="s">
        <v>30</v>
      </c>
      <c r="AF18" s="33" t="s">
        <v>30</v>
      </c>
      <c r="AG18" s="33" t="s">
        <v>30</v>
      </c>
      <c r="AH18" s="33" t="s">
        <v>30</v>
      </c>
      <c r="AI18" s="33" t="s">
        <v>70</v>
      </c>
      <c r="AJ18" s="33">
        <v>416</v>
      </c>
      <c r="AK18" s="33">
        <v>2</v>
      </c>
      <c r="AL18" s="33">
        <v>282</v>
      </c>
      <c r="AM18" s="33">
        <v>588</v>
      </c>
      <c r="AN18" s="33">
        <v>692</v>
      </c>
      <c r="AO18" s="33">
        <v>1114</v>
      </c>
      <c r="AP18" s="33">
        <v>1106</v>
      </c>
      <c r="AQ18" s="33">
        <v>1247</v>
      </c>
    </row>
    <row r="19" spans="1:43" ht="20">
      <c r="A19" s="49" t="s">
        <v>99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Y19" s="33" t="s">
        <v>180</v>
      </c>
      <c r="Z19" s="33" t="s">
        <v>177</v>
      </c>
      <c r="AA19" s="33" t="s">
        <v>181</v>
      </c>
      <c r="AB19" s="33" t="s">
        <v>168</v>
      </c>
      <c r="AC19" s="33" t="s">
        <v>182</v>
      </c>
      <c r="AD19" s="34" t="s">
        <v>66</v>
      </c>
      <c r="AE19" s="33" t="s">
        <v>30</v>
      </c>
      <c r="AF19" s="33" t="s">
        <v>30</v>
      </c>
      <c r="AG19" s="33" t="s">
        <v>30</v>
      </c>
      <c r="AH19" s="33" t="s">
        <v>30</v>
      </c>
      <c r="AI19" s="33" t="s">
        <v>30</v>
      </c>
      <c r="AJ19" s="33" t="s">
        <v>30</v>
      </c>
      <c r="AK19" s="33" t="s">
        <v>30</v>
      </c>
      <c r="AL19" s="33">
        <v>0</v>
      </c>
      <c r="AM19" s="33">
        <v>19</v>
      </c>
      <c r="AN19" s="33">
        <v>498</v>
      </c>
      <c r="AO19" s="33">
        <v>244</v>
      </c>
      <c r="AP19" s="33">
        <v>508</v>
      </c>
      <c r="AQ19" s="33">
        <v>141</v>
      </c>
    </row>
    <row r="20" spans="1:43" ht="20">
      <c r="A20" s="52" t="s">
        <v>100</v>
      </c>
      <c r="B20" s="52"/>
      <c r="C20" s="33" t="s">
        <v>83</v>
      </c>
      <c r="D20" s="52" t="s">
        <v>101</v>
      </c>
      <c r="E20" s="52"/>
      <c r="F20" s="33" t="s">
        <v>96</v>
      </c>
      <c r="G20" s="33" t="s">
        <v>102</v>
      </c>
      <c r="H20" s="53" t="s">
        <v>103</v>
      </c>
      <c r="I20" s="53"/>
      <c r="J20" s="53"/>
      <c r="K20" s="34">
        <v>418</v>
      </c>
      <c r="L20" s="34">
        <v>416</v>
      </c>
      <c r="M20" s="34">
        <v>627</v>
      </c>
      <c r="N20" s="34">
        <v>442</v>
      </c>
      <c r="O20" s="34">
        <v>550</v>
      </c>
      <c r="P20" s="34">
        <v>511</v>
      </c>
      <c r="Q20" s="34">
        <v>371</v>
      </c>
      <c r="R20" s="34">
        <v>245</v>
      </c>
      <c r="S20" s="34">
        <v>455.5</v>
      </c>
      <c r="T20" s="34">
        <v>590</v>
      </c>
      <c r="U20" s="34">
        <v>362</v>
      </c>
      <c r="V20" s="34">
        <v>286</v>
      </c>
      <c r="W20" s="34">
        <v>409</v>
      </c>
      <c r="Y20" s="35" t="s">
        <v>161</v>
      </c>
      <c r="Z20" s="35"/>
      <c r="AA20" s="35"/>
      <c r="AB20" s="35"/>
      <c r="AC20" s="35"/>
      <c r="AD20" s="36"/>
      <c r="AE20" s="35">
        <v>177</v>
      </c>
      <c r="AF20" s="35">
        <v>505</v>
      </c>
      <c r="AG20" s="35">
        <v>563</v>
      </c>
      <c r="AH20" s="35">
        <v>507</v>
      </c>
      <c r="AI20" s="35">
        <v>358</v>
      </c>
      <c r="AJ20" s="35">
        <v>982</v>
      </c>
      <c r="AK20" s="35">
        <v>583</v>
      </c>
      <c r="AL20" s="35">
        <v>1168</v>
      </c>
      <c r="AM20" s="35">
        <v>1486</v>
      </c>
      <c r="AN20" s="35">
        <v>2597</v>
      </c>
      <c r="AO20" s="35">
        <v>2292</v>
      </c>
      <c r="AP20" s="35">
        <v>2886</v>
      </c>
      <c r="AQ20" s="35">
        <v>2911</v>
      </c>
    </row>
    <row r="21" spans="1:43">
      <c r="A21" s="52" t="s">
        <v>104</v>
      </c>
      <c r="B21" s="52"/>
      <c r="C21" s="33" t="s">
        <v>83</v>
      </c>
      <c r="D21" s="52" t="s">
        <v>105</v>
      </c>
      <c r="E21" s="52"/>
      <c r="F21" s="33" t="s">
        <v>96</v>
      </c>
      <c r="G21" s="33" t="s">
        <v>106</v>
      </c>
      <c r="H21" s="53" t="s">
        <v>66</v>
      </c>
      <c r="I21" s="53"/>
      <c r="J21" s="53"/>
      <c r="K21" s="34">
        <v>71</v>
      </c>
      <c r="L21" s="34">
        <v>6</v>
      </c>
      <c r="M21" s="34">
        <v>24</v>
      </c>
      <c r="N21" s="34">
        <v>100</v>
      </c>
      <c r="O21" s="34">
        <v>124</v>
      </c>
      <c r="P21" s="34">
        <v>164</v>
      </c>
      <c r="Q21" s="34">
        <v>119</v>
      </c>
      <c r="R21" s="34">
        <v>5</v>
      </c>
      <c r="S21" s="34">
        <v>146.5</v>
      </c>
      <c r="T21" s="34">
        <v>13</v>
      </c>
      <c r="U21" s="34">
        <v>397</v>
      </c>
      <c r="V21" s="34">
        <v>153</v>
      </c>
      <c r="W21" s="34">
        <v>756</v>
      </c>
      <c r="Y21" s="49" t="s">
        <v>183</v>
      </c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</row>
    <row r="22" spans="1:43">
      <c r="A22" s="52" t="s">
        <v>107</v>
      </c>
      <c r="B22" s="52"/>
      <c r="C22" s="33" t="s">
        <v>83</v>
      </c>
      <c r="D22" s="52" t="s">
        <v>108</v>
      </c>
      <c r="E22" s="52"/>
      <c r="F22" s="33" t="s">
        <v>96</v>
      </c>
      <c r="G22" s="33" t="s">
        <v>109</v>
      </c>
      <c r="H22" s="53" t="s">
        <v>103</v>
      </c>
      <c r="I22" s="53"/>
      <c r="J22" s="53"/>
      <c r="K22" s="34">
        <v>628</v>
      </c>
      <c r="L22" s="34">
        <v>616</v>
      </c>
      <c r="M22" s="34">
        <v>879</v>
      </c>
      <c r="N22" s="34">
        <v>806</v>
      </c>
      <c r="O22" s="34">
        <v>600</v>
      </c>
      <c r="P22" s="34">
        <v>575</v>
      </c>
      <c r="Q22" s="34">
        <v>343</v>
      </c>
      <c r="R22" s="34">
        <v>262</v>
      </c>
      <c r="S22" s="34">
        <v>268</v>
      </c>
      <c r="T22" s="34">
        <v>379</v>
      </c>
      <c r="U22" s="34">
        <v>264</v>
      </c>
      <c r="V22" s="34">
        <v>231</v>
      </c>
      <c r="W22" s="34">
        <v>336</v>
      </c>
      <c r="Y22" s="33" t="s">
        <v>13</v>
      </c>
      <c r="Z22" s="33" t="s">
        <v>177</v>
      </c>
      <c r="AA22" s="33" t="s">
        <v>184</v>
      </c>
      <c r="AB22" s="33" t="s">
        <v>185</v>
      </c>
      <c r="AC22" s="33" t="s">
        <v>175</v>
      </c>
      <c r="AD22" s="34" t="s">
        <v>66</v>
      </c>
      <c r="AE22" s="33" t="s">
        <v>30</v>
      </c>
      <c r="AF22" s="33" t="s">
        <v>30</v>
      </c>
      <c r="AG22" s="33" t="s">
        <v>30</v>
      </c>
      <c r="AH22" s="33" t="s">
        <v>30</v>
      </c>
      <c r="AI22" s="33" t="s">
        <v>30</v>
      </c>
      <c r="AJ22" s="33" t="s">
        <v>30</v>
      </c>
      <c r="AK22" s="33" t="s">
        <v>30</v>
      </c>
      <c r="AL22" s="33">
        <v>0</v>
      </c>
      <c r="AM22" s="33">
        <v>0</v>
      </c>
      <c r="AN22" s="33">
        <v>30</v>
      </c>
      <c r="AO22" s="33">
        <v>132</v>
      </c>
      <c r="AP22" s="33">
        <v>57</v>
      </c>
      <c r="AQ22" s="33">
        <v>51</v>
      </c>
    </row>
    <row r="23" spans="1:43">
      <c r="A23" s="52" t="s">
        <v>110</v>
      </c>
      <c r="B23" s="52"/>
      <c r="C23" s="33" t="s">
        <v>83</v>
      </c>
      <c r="D23" s="52" t="s">
        <v>111</v>
      </c>
      <c r="E23" s="52"/>
      <c r="F23" s="33" t="s">
        <v>112</v>
      </c>
      <c r="G23" s="33" t="s">
        <v>113</v>
      </c>
      <c r="H23" s="53" t="s">
        <v>103</v>
      </c>
      <c r="I23" s="53"/>
      <c r="J23" s="53"/>
      <c r="K23" s="34">
        <v>550</v>
      </c>
      <c r="L23" s="34">
        <v>375</v>
      </c>
      <c r="M23" s="34">
        <v>570</v>
      </c>
      <c r="N23" s="34">
        <v>376</v>
      </c>
      <c r="O23" s="34">
        <v>1057</v>
      </c>
      <c r="P23" s="34">
        <v>1603</v>
      </c>
      <c r="Q23" s="34">
        <v>1626</v>
      </c>
      <c r="R23" s="34">
        <v>2540</v>
      </c>
      <c r="S23" s="34">
        <v>2994.5</v>
      </c>
      <c r="T23" s="34">
        <v>3576</v>
      </c>
      <c r="U23" s="34">
        <v>3645</v>
      </c>
      <c r="V23" s="34">
        <v>4651</v>
      </c>
      <c r="W23" s="34">
        <v>5348</v>
      </c>
      <c r="Y23" s="33" t="s">
        <v>14</v>
      </c>
      <c r="Z23" s="33" t="s">
        <v>152</v>
      </c>
      <c r="AA23" s="33" t="s">
        <v>111</v>
      </c>
      <c r="AB23" s="33" t="s">
        <v>185</v>
      </c>
      <c r="AC23" s="33" t="s">
        <v>186</v>
      </c>
      <c r="AD23" s="34" t="s">
        <v>66</v>
      </c>
      <c r="AE23" s="33">
        <v>207</v>
      </c>
      <c r="AF23" s="33">
        <v>105</v>
      </c>
      <c r="AG23" s="33">
        <v>88</v>
      </c>
      <c r="AH23" s="33">
        <v>36</v>
      </c>
      <c r="AI23" s="33">
        <v>482</v>
      </c>
      <c r="AJ23" s="33">
        <v>489</v>
      </c>
      <c r="AK23" s="33">
        <v>538</v>
      </c>
      <c r="AL23" s="33">
        <v>216</v>
      </c>
      <c r="AM23" s="33">
        <v>370</v>
      </c>
      <c r="AN23" s="33">
        <v>253</v>
      </c>
      <c r="AO23" s="33">
        <v>294</v>
      </c>
      <c r="AP23" s="33">
        <v>316</v>
      </c>
      <c r="AQ23" s="33">
        <v>305</v>
      </c>
    </row>
    <row r="24" spans="1:43" ht="20">
      <c r="A24" s="54" t="s">
        <v>98</v>
      </c>
      <c r="B24" s="54"/>
      <c r="C24" s="35"/>
      <c r="D24" s="54"/>
      <c r="E24" s="54"/>
      <c r="F24" s="35"/>
      <c r="G24" s="35"/>
      <c r="H24" s="55"/>
      <c r="I24" s="55"/>
      <c r="J24" s="55"/>
      <c r="K24" s="36">
        <v>1667</v>
      </c>
      <c r="L24" s="36">
        <v>1413</v>
      </c>
      <c r="M24" s="36">
        <v>2100</v>
      </c>
      <c r="N24" s="36">
        <v>1724</v>
      </c>
      <c r="O24" s="36">
        <v>2331</v>
      </c>
      <c r="P24" s="36">
        <v>2853</v>
      </c>
      <c r="Q24" s="36">
        <v>2459</v>
      </c>
      <c r="R24" s="36">
        <v>3052</v>
      </c>
      <c r="S24" s="36">
        <v>3864.5</v>
      </c>
      <c r="T24" s="36">
        <v>4558</v>
      </c>
      <c r="U24" s="36">
        <v>4668</v>
      </c>
      <c r="V24" s="36">
        <v>5321</v>
      </c>
      <c r="W24" s="36">
        <v>6849</v>
      </c>
      <c r="Y24" s="33" t="s">
        <v>187</v>
      </c>
      <c r="Z24" s="33" t="s">
        <v>152</v>
      </c>
      <c r="AA24" s="33" t="s">
        <v>188</v>
      </c>
      <c r="AB24" s="33" t="s">
        <v>185</v>
      </c>
      <c r="AC24" s="33" t="s">
        <v>189</v>
      </c>
      <c r="AD24" s="34" t="s">
        <v>78</v>
      </c>
      <c r="AE24" s="33">
        <v>0</v>
      </c>
      <c r="AF24" s="33">
        <v>0</v>
      </c>
      <c r="AG24" s="33">
        <v>0</v>
      </c>
      <c r="AH24" s="33">
        <v>45</v>
      </c>
      <c r="AI24" s="33">
        <v>0</v>
      </c>
      <c r="AJ24" s="33">
        <v>0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0</v>
      </c>
    </row>
    <row r="25" spans="1:43">
      <c r="A25" s="49" t="s">
        <v>114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Y25" s="33" t="s">
        <v>190</v>
      </c>
      <c r="Z25" s="33" t="s">
        <v>152</v>
      </c>
      <c r="AA25" s="33" t="s">
        <v>191</v>
      </c>
      <c r="AB25" s="33" t="s">
        <v>185</v>
      </c>
      <c r="AC25" s="33" t="s">
        <v>192</v>
      </c>
      <c r="AD25" s="34" t="s">
        <v>66</v>
      </c>
      <c r="AE25" s="33" t="s">
        <v>30</v>
      </c>
      <c r="AF25" s="33" t="s">
        <v>30</v>
      </c>
      <c r="AG25" s="33" t="s">
        <v>30</v>
      </c>
      <c r="AH25" s="33" t="s">
        <v>30</v>
      </c>
      <c r="AI25" s="33" t="s">
        <v>30</v>
      </c>
      <c r="AJ25" s="33" t="s">
        <v>30</v>
      </c>
      <c r="AK25" s="33" t="s">
        <v>30</v>
      </c>
      <c r="AL25" s="33" t="s">
        <v>30</v>
      </c>
      <c r="AM25" s="33" t="s">
        <v>30</v>
      </c>
      <c r="AN25" s="33" t="s">
        <v>70</v>
      </c>
      <c r="AO25" s="33">
        <v>53</v>
      </c>
      <c r="AP25" s="33">
        <v>-64</v>
      </c>
      <c r="AQ25" s="33">
        <v>159</v>
      </c>
    </row>
    <row r="26" spans="1:43" ht="20">
      <c r="A26" s="52" t="s">
        <v>115</v>
      </c>
      <c r="B26" s="52"/>
      <c r="C26" s="33" t="s">
        <v>83</v>
      </c>
      <c r="D26" s="52" t="s">
        <v>116</v>
      </c>
      <c r="E26" s="52"/>
      <c r="F26" s="33" t="s">
        <v>85</v>
      </c>
      <c r="G26" s="33" t="s">
        <v>117</v>
      </c>
      <c r="H26" s="53" t="s">
        <v>51</v>
      </c>
      <c r="I26" s="53"/>
      <c r="J26" s="53"/>
      <c r="K26" s="34">
        <v>-3</v>
      </c>
      <c r="L26" s="34">
        <v>-3</v>
      </c>
      <c r="M26" s="34">
        <v>4</v>
      </c>
      <c r="N26" s="34">
        <v>1</v>
      </c>
      <c r="O26" s="34">
        <v>210</v>
      </c>
      <c r="P26" s="34">
        <v>3</v>
      </c>
      <c r="Q26" s="34">
        <v>226</v>
      </c>
      <c r="R26" s="34">
        <v>225</v>
      </c>
      <c r="S26" s="34">
        <v>519</v>
      </c>
      <c r="T26" s="34">
        <v>786</v>
      </c>
      <c r="U26" s="34">
        <v>541</v>
      </c>
      <c r="V26" s="34">
        <v>479</v>
      </c>
      <c r="W26" s="34">
        <v>676</v>
      </c>
      <c r="Y26" s="33" t="s">
        <v>193</v>
      </c>
      <c r="Z26" s="33" t="s">
        <v>152</v>
      </c>
      <c r="AA26" s="33" t="s">
        <v>194</v>
      </c>
      <c r="AB26" s="33" t="s">
        <v>185</v>
      </c>
      <c r="AC26" s="33" t="s">
        <v>195</v>
      </c>
      <c r="AD26" s="34" t="s">
        <v>66</v>
      </c>
      <c r="AE26" s="33">
        <v>0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0</v>
      </c>
      <c r="AQ26" s="33">
        <v>79</v>
      </c>
    </row>
    <row r="27" spans="1:43" ht="20">
      <c r="A27" s="52" t="s">
        <v>118</v>
      </c>
      <c r="B27" s="52"/>
      <c r="C27" s="33" t="s">
        <v>83</v>
      </c>
      <c r="D27" s="52" t="s">
        <v>116</v>
      </c>
      <c r="E27" s="52"/>
      <c r="F27" s="33" t="s">
        <v>85</v>
      </c>
      <c r="G27" s="33" t="s">
        <v>119</v>
      </c>
      <c r="H27" s="53" t="s">
        <v>51</v>
      </c>
      <c r="I27" s="53"/>
      <c r="J27" s="53"/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47</v>
      </c>
      <c r="T27" s="34">
        <v>2</v>
      </c>
      <c r="U27" s="34">
        <v>0</v>
      </c>
      <c r="V27" s="34">
        <v>461</v>
      </c>
      <c r="W27" s="34">
        <v>437</v>
      </c>
      <c r="Y27" s="33" t="s">
        <v>19</v>
      </c>
      <c r="Z27" s="33" t="s">
        <v>139</v>
      </c>
      <c r="AA27" s="33" t="s">
        <v>196</v>
      </c>
      <c r="AB27" s="33" t="s">
        <v>168</v>
      </c>
      <c r="AC27" s="33" t="s">
        <v>197</v>
      </c>
      <c r="AD27" s="34" t="s">
        <v>103</v>
      </c>
      <c r="AE27" s="33">
        <v>631</v>
      </c>
      <c r="AF27" s="33">
        <v>549</v>
      </c>
      <c r="AG27" s="33">
        <v>782</v>
      </c>
      <c r="AH27" s="33">
        <v>698</v>
      </c>
      <c r="AI27" s="33">
        <v>1021</v>
      </c>
      <c r="AJ27" s="33">
        <v>867</v>
      </c>
      <c r="AK27" s="33">
        <v>797</v>
      </c>
      <c r="AL27" s="33">
        <v>763</v>
      </c>
      <c r="AM27" s="33">
        <v>982</v>
      </c>
      <c r="AN27" s="33">
        <v>1094</v>
      </c>
      <c r="AO27" s="33">
        <v>811</v>
      </c>
      <c r="AP27" s="33">
        <v>1077</v>
      </c>
      <c r="AQ27" s="33">
        <v>1228</v>
      </c>
    </row>
    <row r="28" spans="1:43">
      <c r="A28" s="52" t="s">
        <v>120</v>
      </c>
      <c r="B28" s="52"/>
      <c r="C28" s="33" t="s">
        <v>83</v>
      </c>
      <c r="D28" s="52" t="s">
        <v>121</v>
      </c>
      <c r="E28" s="52"/>
      <c r="F28" s="33" t="s">
        <v>85</v>
      </c>
      <c r="G28" s="33" t="s">
        <v>122</v>
      </c>
      <c r="H28" s="53" t="s">
        <v>51</v>
      </c>
      <c r="I28" s="53"/>
      <c r="J28" s="53"/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151</v>
      </c>
      <c r="V28" s="34">
        <v>140</v>
      </c>
      <c r="W28" s="34">
        <v>157</v>
      </c>
      <c r="Y28" s="33" t="s">
        <v>20</v>
      </c>
      <c r="Z28" s="33" t="s">
        <v>152</v>
      </c>
      <c r="AA28" s="33" t="s">
        <v>198</v>
      </c>
      <c r="AB28" s="33" t="s">
        <v>199</v>
      </c>
      <c r="AC28" s="33" t="s">
        <v>200</v>
      </c>
      <c r="AD28" s="34" t="s">
        <v>66</v>
      </c>
      <c r="AE28" s="33">
        <v>76</v>
      </c>
      <c r="AF28" s="33">
        <v>375</v>
      </c>
      <c r="AG28" s="33">
        <v>278</v>
      </c>
      <c r="AH28" s="33">
        <v>117</v>
      </c>
      <c r="AI28" s="33">
        <v>263</v>
      </c>
      <c r="AJ28" s="33">
        <v>80</v>
      </c>
      <c r="AK28" s="33">
        <v>196</v>
      </c>
      <c r="AL28" s="33">
        <v>285</v>
      </c>
      <c r="AM28" s="33">
        <v>151</v>
      </c>
      <c r="AN28" s="33">
        <v>47</v>
      </c>
      <c r="AO28" s="33">
        <v>98</v>
      </c>
      <c r="AP28" s="33">
        <v>251</v>
      </c>
      <c r="AQ28" s="33">
        <v>249</v>
      </c>
    </row>
    <row r="29" spans="1:43" ht="20">
      <c r="A29" s="52" t="s">
        <v>123</v>
      </c>
      <c r="B29" s="52"/>
      <c r="C29" s="33" t="s">
        <v>83</v>
      </c>
      <c r="D29" s="52" t="s">
        <v>124</v>
      </c>
      <c r="E29" s="52"/>
      <c r="F29" s="33" t="s">
        <v>73</v>
      </c>
      <c r="G29" s="33" t="s">
        <v>125</v>
      </c>
      <c r="H29" s="53" t="s">
        <v>66</v>
      </c>
      <c r="I29" s="53"/>
      <c r="J29" s="53"/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46</v>
      </c>
      <c r="Y29" s="33" t="s">
        <v>21</v>
      </c>
      <c r="Z29" s="33" t="s">
        <v>152</v>
      </c>
      <c r="AA29" s="33" t="s">
        <v>201</v>
      </c>
      <c r="AB29" s="33" t="s">
        <v>199</v>
      </c>
      <c r="AC29" s="33" t="s">
        <v>202</v>
      </c>
      <c r="AD29" s="34" t="s">
        <v>78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3</v>
      </c>
      <c r="AK29" s="33">
        <v>115</v>
      </c>
      <c r="AL29" s="33">
        <v>65</v>
      </c>
      <c r="AM29" s="33">
        <v>2</v>
      </c>
      <c r="AN29" s="33">
        <v>1</v>
      </c>
      <c r="AO29" s="33">
        <v>0</v>
      </c>
      <c r="AP29" s="33">
        <v>0</v>
      </c>
      <c r="AQ29" s="33">
        <v>76</v>
      </c>
    </row>
    <row r="30" spans="1:43" ht="20">
      <c r="A30" s="54" t="s">
        <v>98</v>
      </c>
      <c r="B30" s="54"/>
      <c r="C30" s="35"/>
      <c r="D30" s="54"/>
      <c r="E30" s="54"/>
      <c r="F30" s="35"/>
      <c r="G30" s="35"/>
      <c r="H30" s="55"/>
      <c r="I30" s="55"/>
      <c r="J30" s="55"/>
      <c r="K30" s="36">
        <v>3</v>
      </c>
      <c r="L30" s="36">
        <v>3</v>
      </c>
      <c r="M30" s="36">
        <v>4</v>
      </c>
      <c r="N30" s="36">
        <v>1</v>
      </c>
      <c r="O30" s="36">
        <v>210</v>
      </c>
      <c r="P30" s="36">
        <v>3</v>
      </c>
      <c r="Q30" s="36">
        <v>226</v>
      </c>
      <c r="R30" s="36">
        <v>225</v>
      </c>
      <c r="S30" s="36">
        <v>566</v>
      </c>
      <c r="T30" s="36">
        <v>788</v>
      </c>
      <c r="U30" s="36">
        <v>692</v>
      </c>
      <c r="V30" s="36">
        <v>1080</v>
      </c>
      <c r="W30" s="36">
        <v>1316</v>
      </c>
      <c r="Y30" s="33" t="s">
        <v>203</v>
      </c>
      <c r="Z30" s="33" t="s">
        <v>158</v>
      </c>
      <c r="AA30" s="33" t="s">
        <v>204</v>
      </c>
      <c r="AB30" s="33" t="s">
        <v>199</v>
      </c>
      <c r="AC30" s="33" t="s">
        <v>205</v>
      </c>
      <c r="AD30" s="34" t="s">
        <v>66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67</v>
      </c>
    </row>
    <row r="31" spans="1:43" ht="15" thickBot="1">
      <c r="A31" s="50" t="s">
        <v>126</v>
      </c>
      <c r="B31" s="50"/>
      <c r="C31" s="37"/>
      <c r="D31" s="50"/>
      <c r="E31" s="50"/>
      <c r="F31" s="37"/>
      <c r="G31" s="37"/>
      <c r="H31" s="51"/>
      <c r="I31" s="51"/>
      <c r="J31" s="51"/>
      <c r="K31" s="38">
        <v>2540</v>
      </c>
      <c r="L31" s="38">
        <v>2095</v>
      </c>
      <c r="M31" s="38">
        <v>2602</v>
      </c>
      <c r="N31" s="38">
        <v>2398</v>
      </c>
      <c r="O31" s="38">
        <v>3128</v>
      </c>
      <c r="P31" s="38">
        <v>3751</v>
      </c>
      <c r="Q31" s="38">
        <v>4023</v>
      </c>
      <c r="R31" s="38">
        <v>5250</v>
      </c>
      <c r="S31" s="38">
        <v>6482.5</v>
      </c>
      <c r="T31" s="38">
        <v>8221</v>
      </c>
      <c r="U31" s="38">
        <v>8133</v>
      </c>
      <c r="V31" s="38">
        <v>10288</v>
      </c>
      <c r="W31" s="38">
        <v>12134</v>
      </c>
      <c r="Y31" s="33" t="s">
        <v>23</v>
      </c>
      <c r="Z31" s="33" t="s">
        <v>158</v>
      </c>
      <c r="AA31" s="33" t="s">
        <v>206</v>
      </c>
      <c r="AB31" s="33" t="s">
        <v>199</v>
      </c>
      <c r="AC31" s="33" t="s">
        <v>125</v>
      </c>
      <c r="AD31" s="34" t="s">
        <v>51</v>
      </c>
      <c r="AE31" s="33">
        <v>0</v>
      </c>
      <c r="AF31" s="33">
        <v>0</v>
      </c>
      <c r="AG31" s="33">
        <v>0</v>
      </c>
      <c r="AH31" s="33">
        <v>0</v>
      </c>
      <c r="AI31" s="33">
        <v>0</v>
      </c>
      <c r="AJ31" s="33">
        <v>70</v>
      </c>
      <c r="AK31" s="33">
        <v>21</v>
      </c>
      <c r="AL31" s="33">
        <v>1</v>
      </c>
      <c r="AM31" s="33">
        <v>131</v>
      </c>
      <c r="AN31" s="33">
        <v>27</v>
      </c>
      <c r="AO31" s="33">
        <v>85</v>
      </c>
      <c r="AP31" s="33">
        <v>97</v>
      </c>
      <c r="AQ31" s="33">
        <v>208</v>
      </c>
    </row>
    <row r="32" spans="1:43" ht="20">
      <c r="Y32" s="33" t="s">
        <v>207</v>
      </c>
      <c r="Z32" s="33" t="s">
        <v>158</v>
      </c>
      <c r="AA32" s="33" t="s">
        <v>208</v>
      </c>
      <c r="AB32" s="33" t="s">
        <v>209</v>
      </c>
      <c r="AC32" s="33" t="s">
        <v>210</v>
      </c>
      <c r="AD32" s="34" t="s">
        <v>66</v>
      </c>
      <c r="AE32" s="33">
        <v>408</v>
      </c>
      <c r="AF32" s="33">
        <v>-391</v>
      </c>
      <c r="AG32" s="33">
        <v>399</v>
      </c>
      <c r="AH32" s="33">
        <v>366</v>
      </c>
      <c r="AI32" s="33">
        <v>309</v>
      </c>
      <c r="AJ32" s="33">
        <v>327</v>
      </c>
      <c r="AK32" s="33">
        <v>397</v>
      </c>
      <c r="AL32" s="33">
        <v>601</v>
      </c>
      <c r="AM32" s="33">
        <v>696</v>
      </c>
      <c r="AN32" s="33">
        <v>770</v>
      </c>
      <c r="AO32" s="33">
        <v>-511</v>
      </c>
      <c r="AP32" s="33">
        <v>339</v>
      </c>
      <c r="AQ32" s="33">
        <v>253</v>
      </c>
    </row>
    <row r="33" spans="1:43" ht="20">
      <c r="A33" t="s">
        <v>224</v>
      </c>
      <c r="Y33" s="33" t="s">
        <v>25</v>
      </c>
      <c r="Z33" s="33" t="s">
        <v>177</v>
      </c>
      <c r="AA33" s="33" t="s">
        <v>211</v>
      </c>
      <c r="AB33" s="33" t="s">
        <v>209</v>
      </c>
      <c r="AC33" s="33" t="s">
        <v>212</v>
      </c>
      <c r="AD33" s="34" t="s">
        <v>51</v>
      </c>
      <c r="AE33" s="33">
        <v>6</v>
      </c>
      <c r="AF33" s="33">
        <v>-3</v>
      </c>
      <c r="AG33" s="33">
        <v>0</v>
      </c>
      <c r="AH33" s="33">
        <v>3</v>
      </c>
      <c r="AI33" s="33">
        <v>3</v>
      </c>
      <c r="AJ33" s="33">
        <v>-2</v>
      </c>
      <c r="AK33" s="33">
        <v>0</v>
      </c>
      <c r="AL33" s="33">
        <v>217</v>
      </c>
      <c r="AM33" s="33">
        <v>3</v>
      </c>
      <c r="AN33" s="33">
        <v>484</v>
      </c>
      <c r="AO33" s="33">
        <v>-218</v>
      </c>
      <c r="AP33" s="33">
        <v>98</v>
      </c>
      <c r="AQ33" s="33">
        <v>332</v>
      </c>
    </row>
    <row r="34" spans="1:43" ht="20">
      <c r="A34" t="s">
        <v>232</v>
      </c>
      <c r="Y34" s="33" t="s">
        <v>26</v>
      </c>
      <c r="Z34" s="33" t="s">
        <v>152</v>
      </c>
      <c r="AA34" s="33" t="s">
        <v>213</v>
      </c>
      <c r="AB34" s="33" t="s">
        <v>185</v>
      </c>
      <c r="AC34" s="33" t="s">
        <v>214</v>
      </c>
      <c r="AD34" s="34" t="s">
        <v>66</v>
      </c>
      <c r="AE34" s="33" t="s">
        <v>30</v>
      </c>
      <c r="AF34" s="33" t="s">
        <v>30</v>
      </c>
      <c r="AG34" s="33" t="s">
        <v>30</v>
      </c>
      <c r="AH34" s="33" t="s">
        <v>70</v>
      </c>
      <c r="AI34" s="33">
        <v>44</v>
      </c>
      <c r="AJ34" s="33">
        <v>279</v>
      </c>
      <c r="AK34" s="33">
        <v>617</v>
      </c>
      <c r="AL34" s="33">
        <v>359</v>
      </c>
      <c r="AM34" s="33">
        <v>313</v>
      </c>
      <c r="AN34" s="33">
        <v>513</v>
      </c>
      <c r="AO34" s="33">
        <v>473</v>
      </c>
      <c r="AP34" s="33">
        <v>186</v>
      </c>
      <c r="AQ34" s="33">
        <v>518</v>
      </c>
    </row>
    <row r="35" spans="1:43" ht="20">
      <c r="Y35" s="33" t="s">
        <v>215</v>
      </c>
      <c r="Z35" s="33" t="s">
        <v>152</v>
      </c>
      <c r="AA35" s="33" t="s">
        <v>216</v>
      </c>
      <c r="AB35" s="33" t="s">
        <v>168</v>
      </c>
      <c r="AC35" s="33" t="s">
        <v>217</v>
      </c>
      <c r="AD35" s="34" t="s">
        <v>103</v>
      </c>
      <c r="AE35" s="33" t="s">
        <v>30</v>
      </c>
      <c r="AF35" s="33" t="s">
        <v>30</v>
      </c>
      <c r="AG35" s="33" t="s">
        <v>30</v>
      </c>
      <c r="AH35" s="33" t="s">
        <v>30</v>
      </c>
      <c r="AI35" s="33" t="s">
        <v>30</v>
      </c>
      <c r="AJ35" s="33" t="s">
        <v>30</v>
      </c>
      <c r="AK35" s="33" t="s">
        <v>30</v>
      </c>
      <c r="AL35" s="33" t="s">
        <v>70</v>
      </c>
      <c r="AM35" s="33">
        <v>329</v>
      </c>
      <c r="AN35" s="33">
        <v>261</v>
      </c>
      <c r="AO35" s="33">
        <v>305</v>
      </c>
      <c r="AP35" s="33">
        <v>565</v>
      </c>
      <c r="AQ35" s="33">
        <v>677</v>
      </c>
    </row>
    <row r="36" spans="1:43" ht="20">
      <c r="A36" t="s">
        <v>31</v>
      </c>
      <c r="B36" t="s">
        <v>34</v>
      </c>
      <c r="C36" t="s">
        <v>35</v>
      </c>
      <c r="D36" t="s">
        <v>127</v>
      </c>
      <c r="E36" t="s">
        <v>226</v>
      </c>
      <c r="F36" t="s">
        <v>225</v>
      </c>
      <c r="G36">
        <v>1971</v>
      </c>
      <c r="H36">
        <v>1973</v>
      </c>
      <c r="I36">
        <v>1977</v>
      </c>
      <c r="J36">
        <v>1982</v>
      </c>
      <c r="K36">
        <v>1987</v>
      </c>
      <c r="L36">
        <v>1992</v>
      </c>
      <c r="M36">
        <v>1994</v>
      </c>
      <c r="N36">
        <v>1998</v>
      </c>
      <c r="O36">
        <v>2002</v>
      </c>
      <c r="P36">
        <v>2006</v>
      </c>
      <c r="Q36">
        <v>2008</v>
      </c>
      <c r="R36">
        <v>2010</v>
      </c>
      <c r="S36">
        <v>2013</v>
      </c>
      <c r="Y36" s="35" t="s">
        <v>161</v>
      </c>
      <c r="Z36" s="35"/>
      <c r="AA36" s="35"/>
      <c r="AB36" s="35"/>
      <c r="AC36" s="35"/>
      <c r="AD36" s="36"/>
      <c r="AE36" s="35">
        <v>1328</v>
      </c>
      <c r="AF36" s="35">
        <v>1423</v>
      </c>
      <c r="AG36" s="35">
        <v>1547</v>
      </c>
      <c r="AH36" s="35">
        <v>1265</v>
      </c>
      <c r="AI36" s="35">
        <v>2122</v>
      </c>
      <c r="AJ36" s="35">
        <v>2117</v>
      </c>
      <c r="AK36" s="35">
        <v>2681</v>
      </c>
      <c r="AL36" s="35">
        <v>2507</v>
      </c>
      <c r="AM36" s="35">
        <v>2977</v>
      </c>
      <c r="AN36" s="35">
        <v>3480</v>
      </c>
      <c r="AO36" s="35">
        <v>2980</v>
      </c>
      <c r="AP36" s="35">
        <v>3050</v>
      </c>
      <c r="AQ36" s="35">
        <v>4202</v>
      </c>
    </row>
    <row r="37" spans="1:43" ht="14" customHeight="1">
      <c r="A37" t="str">
        <f>A5</f>
        <v>CARMANAH PT</v>
      </c>
      <c r="B37" t="str">
        <f>CONCATENATE(C5,D5)</f>
        <v>48º36.9’N</v>
      </c>
      <c r="C37" t="str">
        <f>CONCATENATE(F5,G5)</f>
        <v>124º45.7’W</v>
      </c>
      <c r="D37" t="str">
        <f>I5</f>
        <v>W/Y</v>
      </c>
      <c r="E37" t="s">
        <v>128</v>
      </c>
      <c r="F37" t="s">
        <v>227</v>
      </c>
      <c r="G37">
        <f t="shared" ref="G37:G49" si="0">K5</f>
        <v>0</v>
      </c>
      <c r="H37">
        <f t="shared" ref="H37:H49" si="1">L5</f>
        <v>0</v>
      </c>
      <c r="I37">
        <f t="shared" ref="I37:I49" si="2">M5</f>
        <v>181</v>
      </c>
      <c r="J37">
        <f t="shared" ref="J37:J49" si="3">N5</f>
        <v>170</v>
      </c>
      <c r="K37">
        <f t="shared" ref="K37:K49" si="4">O5</f>
        <v>146</v>
      </c>
      <c r="L37">
        <f t="shared" ref="L37:L49" si="5">P5</f>
        <v>103</v>
      </c>
      <c r="M37">
        <f t="shared" ref="M37:M49" si="6">Q5</f>
        <v>150</v>
      </c>
      <c r="N37">
        <f t="shared" ref="N37:N49" si="7">R5</f>
        <v>255</v>
      </c>
      <c r="O37">
        <f t="shared" ref="O37:O49" si="8">S5</f>
        <v>237</v>
      </c>
      <c r="P37">
        <f t="shared" ref="P37:P49" si="9">T5</f>
        <v>247</v>
      </c>
      <c r="Q37">
        <f t="shared" ref="Q37:Q49" si="10">U5</f>
        <v>162</v>
      </c>
      <c r="R37">
        <f t="shared" ref="R37:R49" si="11">V5</f>
        <v>514</v>
      </c>
      <c r="S37">
        <f t="shared" ref="S37:S49" si="12">W5</f>
        <v>1027</v>
      </c>
      <c r="Y37" s="35" t="s">
        <v>218</v>
      </c>
      <c r="Z37" s="35"/>
      <c r="AA37" s="35"/>
      <c r="AB37" s="35"/>
      <c r="AC37" s="35"/>
      <c r="AD37" s="36" t="s">
        <v>219</v>
      </c>
      <c r="AE37" s="35">
        <v>2312</v>
      </c>
      <c r="AF37" s="35">
        <v>2475</v>
      </c>
      <c r="AG37" s="35">
        <v>2615</v>
      </c>
      <c r="AH37" s="35">
        <v>2327</v>
      </c>
      <c r="AI37" s="35">
        <v>2992</v>
      </c>
      <c r="AJ37" s="35">
        <v>3623</v>
      </c>
      <c r="AK37" s="35">
        <v>4076</v>
      </c>
      <c r="AL37" s="35">
        <v>4565</v>
      </c>
      <c r="AM37" s="35">
        <v>5635</v>
      </c>
      <c r="AN37" s="35">
        <v>7472</v>
      </c>
      <c r="AO37" s="35">
        <v>6879</v>
      </c>
      <c r="AP37" s="35">
        <v>7500</v>
      </c>
      <c r="AQ37" s="35">
        <v>10118</v>
      </c>
    </row>
    <row r="38" spans="1:43" ht="21" thickBot="1">
      <c r="A38" t="str">
        <f t="shared" ref="A38:A49" si="13">A6</f>
        <v>PACHENA PT</v>
      </c>
      <c r="B38" t="str">
        <f t="shared" ref="B38:B48" si="14">CONCATENATE(C6,D6)</f>
        <v>48º43.4’N</v>
      </c>
      <c r="C38" t="str">
        <f t="shared" ref="C38:C49" si="15">CONCATENATE(F6,G6)</f>
        <v>125º06.3’W</v>
      </c>
      <c r="D38" t="str">
        <f t="shared" ref="D38:D49" si="16">I6</f>
        <v>W/Y</v>
      </c>
      <c r="E38" t="s">
        <v>128</v>
      </c>
      <c r="F38" t="s">
        <v>227</v>
      </c>
      <c r="G38">
        <f t="shared" si="0"/>
        <v>0</v>
      </c>
      <c r="H38">
        <f t="shared" si="1"/>
        <v>0</v>
      </c>
      <c r="I38">
        <f t="shared" si="2"/>
        <v>0</v>
      </c>
      <c r="J38">
        <f t="shared" si="3"/>
        <v>0</v>
      </c>
      <c r="K38">
        <f t="shared" si="4"/>
        <v>0</v>
      </c>
      <c r="L38">
        <f t="shared" si="5"/>
        <v>0</v>
      </c>
      <c r="M38">
        <f t="shared" si="6"/>
        <v>0</v>
      </c>
      <c r="N38">
        <f t="shared" si="7"/>
        <v>0</v>
      </c>
      <c r="O38">
        <f t="shared" si="8"/>
        <v>0</v>
      </c>
      <c r="P38">
        <f t="shared" si="9"/>
        <v>44</v>
      </c>
      <c r="Q38">
        <f t="shared" si="10"/>
        <v>53</v>
      </c>
      <c r="R38">
        <f t="shared" si="11"/>
        <v>166</v>
      </c>
      <c r="S38">
        <f t="shared" si="12"/>
        <v>146</v>
      </c>
      <c r="Y38" s="33" t="s">
        <v>220</v>
      </c>
      <c r="Z38" s="33"/>
      <c r="AA38" s="33"/>
      <c r="AB38" s="33"/>
      <c r="AC38" s="33"/>
      <c r="AD38" s="34"/>
      <c r="AE38" s="33">
        <v>1</v>
      </c>
      <c r="AF38" s="33">
        <v>0</v>
      </c>
      <c r="AG38" s="33">
        <v>2</v>
      </c>
      <c r="AH38" s="33">
        <v>1</v>
      </c>
      <c r="AI38" s="33">
        <v>2</v>
      </c>
      <c r="AJ38" s="33">
        <v>4</v>
      </c>
      <c r="AK38" s="33">
        <v>5</v>
      </c>
      <c r="AL38" s="33">
        <v>3</v>
      </c>
      <c r="AM38" s="33">
        <v>3</v>
      </c>
      <c r="AN38" s="33">
        <v>28</v>
      </c>
      <c r="AO38" s="33">
        <v>49</v>
      </c>
      <c r="AP38" s="33">
        <v>208</v>
      </c>
      <c r="AQ38" s="33">
        <v>27</v>
      </c>
    </row>
    <row r="39" spans="1:43" ht="21" thickBot="1">
      <c r="A39" t="str">
        <f t="shared" si="13"/>
        <v>WOUWER ISL</v>
      </c>
      <c r="B39" t="str">
        <f t="shared" si="14"/>
        <v>48º51.8’N</v>
      </c>
      <c r="C39" t="str">
        <f t="shared" si="15"/>
        <v>125º21.5’W</v>
      </c>
      <c r="D39" t="str">
        <f t="shared" si="16"/>
        <v>W/Y</v>
      </c>
      <c r="E39" t="s">
        <v>128</v>
      </c>
      <c r="F39" t="s">
        <v>227</v>
      </c>
      <c r="G39">
        <f t="shared" si="0"/>
        <v>0</v>
      </c>
      <c r="H39">
        <f t="shared" si="1"/>
        <v>0</v>
      </c>
      <c r="I39">
        <f t="shared" si="2"/>
        <v>0</v>
      </c>
      <c r="J39">
        <f t="shared" si="3"/>
        <v>0</v>
      </c>
      <c r="K39">
        <f t="shared" si="4"/>
        <v>0</v>
      </c>
      <c r="L39">
        <f t="shared" si="5"/>
        <v>0</v>
      </c>
      <c r="M39">
        <f t="shared" si="6"/>
        <v>0</v>
      </c>
      <c r="N39">
        <f t="shared" si="7"/>
        <v>0</v>
      </c>
      <c r="O39">
        <f t="shared" si="8"/>
        <v>31</v>
      </c>
      <c r="P39">
        <f t="shared" si="9"/>
        <v>4</v>
      </c>
      <c r="Q39">
        <f t="shared" si="10"/>
        <v>48</v>
      </c>
      <c r="R39">
        <f t="shared" si="11"/>
        <v>89</v>
      </c>
      <c r="S39">
        <f t="shared" si="12"/>
        <v>103</v>
      </c>
      <c r="Y39" s="39" t="s">
        <v>221</v>
      </c>
      <c r="Z39" s="39"/>
      <c r="AA39" s="39"/>
      <c r="AB39" s="39"/>
      <c r="AC39" s="39"/>
      <c r="AD39" s="40" t="s">
        <v>219</v>
      </c>
      <c r="AE39" s="39">
        <v>4853</v>
      </c>
      <c r="AF39" s="39">
        <v>4570</v>
      </c>
      <c r="AG39" s="39">
        <v>5219</v>
      </c>
      <c r="AH39" s="39">
        <v>4726</v>
      </c>
      <c r="AI39" s="39">
        <v>6122</v>
      </c>
      <c r="AJ39" s="39">
        <v>7378</v>
      </c>
      <c r="AK39" s="39">
        <v>8104</v>
      </c>
      <c r="AL39" s="39">
        <v>9818</v>
      </c>
      <c r="AM39" s="39">
        <v>12121</v>
      </c>
      <c r="AN39" s="39">
        <v>15721</v>
      </c>
      <c r="AO39" s="39">
        <v>15061</v>
      </c>
      <c r="AP39" s="39">
        <v>17996</v>
      </c>
      <c r="AQ39" s="39">
        <v>22279</v>
      </c>
    </row>
    <row r="40" spans="1:43" ht="15" thickBot="1">
      <c r="A40" t="str">
        <f t="shared" si="13"/>
        <v>MARA RK</v>
      </c>
      <c r="B40" t="str">
        <f t="shared" si="14"/>
        <v>48º52.5’N</v>
      </c>
      <c r="C40" t="str">
        <f t="shared" si="15"/>
        <v>125º28.7’W</v>
      </c>
      <c r="D40" t="str">
        <f t="shared" si="16"/>
        <v>W/Y</v>
      </c>
      <c r="E40" t="s">
        <v>128</v>
      </c>
      <c r="F40" t="s">
        <v>227</v>
      </c>
      <c r="G40">
        <f t="shared" si="0"/>
        <v>0</v>
      </c>
      <c r="H40">
        <f t="shared" si="1"/>
        <v>0</v>
      </c>
      <c r="I40">
        <f t="shared" si="2"/>
        <v>0</v>
      </c>
      <c r="J40">
        <f t="shared" si="3"/>
        <v>3</v>
      </c>
      <c r="K40">
        <f t="shared" si="4"/>
        <v>0</v>
      </c>
      <c r="L40">
        <f t="shared" si="5"/>
        <v>0</v>
      </c>
      <c r="M40">
        <f t="shared" si="6"/>
        <v>41</v>
      </c>
      <c r="N40">
        <f t="shared" si="7"/>
        <v>87</v>
      </c>
      <c r="O40">
        <f t="shared" si="8"/>
        <v>296</v>
      </c>
      <c r="P40">
        <f t="shared" si="9"/>
        <v>264</v>
      </c>
      <c r="Q40">
        <f t="shared" si="10"/>
        <v>376</v>
      </c>
      <c r="R40">
        <f t="shared" si="11"/>
        <v>514</v>
      </c>
      <c r="S40">
        <f t="shared" si="12"/>
        <v>354</v>
      </c>
      <c r="Y40" s="41"/>
      <c r="Z40" s="41"/>
      <c r="AA40" s="41"/>
      <c r="AB40" s="41"/>
      <c r="AC40" s="41"/>
      <c r="AD40" s="42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</row>
    <row r="41" spans="1:43" ht="15" thickTop="1">
      <c r="A41" t="str">
        <f t="shared" si="13"/>
        <v>LONG BEACH RKS</v>
      </c>
      <c r="B41" t="str">
        <f t="shared" si="14"/>
        <v>49º02.3’N</v>
      </c>
      <c r="C41" t="str">
        <f t="shared" si="15"/>
        <v>125º43.1’W</v>
      </c>
      <c r="D41" t="str">
        <f t="shared" si="16"/>
        <v>Y</v>
      </c>
      <c r="E41" t="s">
        <v>128</v>
      </c>
      <c r="F41" t="s">
        <v>227</v>
      </c>
      <c r="G41">
        <f t="shared" si="0"/>
        <v>394</v>
      </c>
      <c r="H41">
        <f t="shared" si="1"/>
        <v>265</v>
      </c>
      <c r="I41">
        <f t="shared" si="2"/>
        <v>10</v>
      </c>
      <c r="J41">
        <f t="shared" si="3"/>
        <v>262</v>
      </c>
      <c r="K41">
        <f t="shared" si="4"/>
        <v>231</v>
      </c>
      <c r="L41">
        <f t="shared" si="5"/>
        <v>344</v>
      </c>
      <c r="M41">
        <f t="shared" si="6"/>
        <v>298</v>
      </c>
      <c r="N41">
        <f t="shared" si="7"/>
        <v>535</v>
      </c>
      <c r="O41">
        <f t="shared" si="8"/>
        <v>714</v>
      </c>
      <c r="P41">
        <f t="shared" si="9"/>
        <v>388</v>
      </c>
      <c r="Q41">
        <f t="shared" si="10"/>
        <v>295</v>
      </c>
      <c r="R41">
        <f t="shared" si="11"/>
        <v>367</v>
      </c>
      <c r="S41">
        <f t="shared" si="12"/>
        <v>415</v>
      </c>
    </row>
    <row r="42" spans="1:43">
      <c r="A42" t="str">
        <f t="shared" si="13"/>
        <v>CLELAND ISL</v>
      </c>
      <c r="B42" t="str">
        <f t="shared" si="14"/>
        <v>49º10.3’N</v>
      </c>
      <c r="C42" t="str">
        <f t="shared" si="15"/>
        <v>125º05.5’W</v>
      </c>
      <c r="D42" t="str">
        <f t="shared" si="16"/>
        <v>Y</v>
      </c>
      <c r="E42" t="s">
        <v>128</v>
      </c>
      <c r="F42" t="s">
        <v>227</v>
      </c>
      <c r="G42">
        <f t="shared" si="0"/>
        <v>0</v>
      </c>
      <c r="H42">
        <f t="shared" si="1"/>
        <v>0</v>
      </c>
      <c r="I42">
        <f t="shared" si="2"/>
        <v>0</v>
      </c>
      <c r="J42">
        <f t="shared" si="3"/>
        <v>0</v>
      </c>
      <c r="K42">
        <f t="shared" si="4"/>
        <v>0</v>
      </c>
      <c r="L42">
        <f t="shared" si="5"/>
        <v>0</v>
      </c>
      <c r="M42">
        <f t="shared" si="6"/>
        <v>0</v>
      </c>
      <c r="N42">
        <f t="shared" si="7"/>
        <v>0</v>
      </c>
      <c r="O42" t="str">
        <f t="shared" si="8"/>
        <v>0?</v>
      </c>
      <c r="P42">
        <f t="shared" si="9"/>
        <v>0</v>
      </c>
      <c r="Q42">
        <f t="shared" si="10"/>
        <v>0</v>
      </c>
      <c r="R42">
        <f t="shared" si="11"/>
        <v>0</v>
      </c>
      <c r="S42">
        <f t="shared" si="12"/>
        <v>150</v>
      </c>
    </row>
    <row r="43" spans="1:43">
      <c r="A43" t="str">
        <f t="shared" si="13"/>
        <v>PEREZ RKS</v>
      </c>
      <c r="B43" t="str">
        <f t="shared" si="14"/>
        <v>49º24.2’N</v>
      </c>
      <c r="C43" t="str">
        <f t="shared" si="15"/>
        <v>126º35.0’W</v>
      </c>
      <c r="D43" t="str">
        <f t="shared" si="16"/>
        <v>Y</v>
      </c>
      <c r="E43" t="s">
        <v>128</v>
      </c>
      <c r="F43" t="s">
        <v>227</v>
      </c>
      <c r="G43">
        <f t="shared" si="0"/>
        <v>0</v>
      </c>
      <c r="H43">
        <f t="shared" si="1"/>
        <v>0</v>
      </c>
      <c r="I43">
        <f t="shared" si="2"/>
        <v>0</v>
      </c>
      <c r="J43">
        <f t="shared" si="3"/>
        <v>0</v>
      </c>
      <c r="K43">
        <f t="shared" si="4"/>
        <v>0</v>
      </c>
      <c r="L43">
        <f t="shared" si="5"/>
        <v>0</v>
      </c>
      <c r="M43">
        <f t="shared" si="6"/>
        <v>0</v>
      </c>
      <c r="N43">
        <f t="shared" si="7"/>
        <v>0</v>
      </c>
      <c r="O43">
        <f t="shared" si="8"/>
        <v>0</v>
      </c>
      <c r="P43">
        <f t="shared" si="9"/>
        <v>353</v>
      </c>
      <c r="Q43">
        <f t="shared" si="10"/>
        <v>466</v>
      </c>
      <c r="R43">
        <f t="shared" si="11"/>
        <v>321</v>
      </c>
      <c r="S43">
        <f t="shared" si="12"/>
        <v>393</v>
      </c>
    </row>
    <row r="44" spans="1:43">
      <c r="A44" t="str">
        <f t="shared" si="13"/>
        <v>RAPHAEL PT</v>
      </c>
      <c r="B44" t="str">
        <f t="shared" si="14"/>
        <v>49º18.5’N</v>
      </c>
      <c r="C44" t="str">
        <f t="shared" si="15"/>
        <v>126º13.7’W</v>
      </c>
      <c r="D44" t="str">
        <f t="shared" si="16"/>
        <v>W</v>
      </c>
      <c r="E44" t="s">
        <v>128</v>
      </c>
      <c r="F44" t="s">
        <v>227</v>
      </c>
      <c r="G44">
        <f t="shared" si="0"/>
        <v>0</v>
      </c>
      <c r="H44">
        <f t="shared" si="1"/>
        <v>0</v>
      </c>
      <c r="I44">
        <f t="shared" si="2"/>
        <v>0</v>
      </c>
      <c r="J44">
        <f t="shared" si="3"/>
        <v>0</v>
      </c>
      <c r="K44">
        <f t="shared" si="4"/>
        <v>0</v>
      </c>
      <c r="L44">
        <f t="shared" si="5"/>
        <v>0</v>
      </c>
      <c r="M44">
        <f t="shared" si="6"/>
        <v>58</v>
      </c>
      <c r="N44">
        <f t="shared" si="7"/>
        <v>0</v>
      </c>
      <c r="O44">
        <f t="shared" si="8"/>
        <v>0</v>
      </c>
      <c r="P44">
        <f t="shared" si="9"/>
        <v>0</v>
      </c>
      <c r="Q44">
        <f t="shared" si="10"/>
        <v>0</v>
      </c>
      <c r="R44">
        <f t="shared" si="11"/>
        <v>0</v>
      </c>
      <c r="S44">
        <f t="shared" si="12"/>
        <v>0</v>
      </c>
    </row>
    <row r="45" spans="1:43">
      <c r="A45" t="str">
        <f t="shared" si="13"/>
        <v>FERRER PT</v>
      </c>
      <c r="B45" t="str">
        <f t="shared" si="14"/>
        <v>49º44.6’N</v>
      </c>
      <c r="C45" t="str">
        <f t="shared" si="15"/>
        <v>126º58.7’W</v>
      </c>
      <c r="D45" t="str">
        <f t="shared" si="16"/>
        <v>W/Y</v>
      </c>
      <c r="E45" t="s">
        <v>128</v>
      </c>
      <c r="F45" t="s">
        <v>227</v>
      </c>
      <c r="G45">
        <f t="shared" si="0"/>
        <v>0</v>
      </c>
      <c r="H45">
        <f t="shared" si="1"/>
        <v>0</v>
      </c>
      <c r="I45">
        <f t="shared" si="2"/>
        <v>0</v>
      </c>
      <c r="J45">
        <f t="shared" si="3"/>
        <v>0</v>
      </c>
      <c r="K45">
        <f t="shared" si="4"/>
        <v>0</v>
      </c>
      <c r="L45">
        <f t="shared" si="5"/>
        <v>0</v>
      </c>
      <c r="M45">
        <f t="shared" si="6"/>
        <v>0</v>
      </c>
      <c r="N45">
        <f t="shared" si="7"/>
        <v>0</v>
      </c>
      <c r="O45">
        <f t="shared" si="8"/>
        <v>0</v>
      </c>
      <c r="P45">
        <f t="shared" si="9"/>
        <v>16</v>
      </c>
      <c r="Q45">
        <f t="shared" si="10"/>
        <v>2</v>
      </c>
      <c r="R45">
        <f t="shared" si="11"/>
        <v>0</v>
      </c>
      <c r="S45">
        <f t="shared" si="12"/>
        <v>2</v>
      </c>
    </row>
    <row r="46" spans="1:43">
      <c r="A46" t="str">
        <f t="shared" si="13"/>
        <v>BARRIER ISLS</v>
      </c>
      <c r="B46" t="str">
        <f t="shared" si="14"/>
        <v>50º00.7’N</v>
      </c>
      <c r="C46" t="str">
        <f t="shared" si="15"/>
        <v>127º31.6’W</v>
      </c>
      <c r="D46" t="str">
        <f t="shared" si="16"/>
        <v>Y</v>
      </c>
      <c r="E46" t="s">
        <v>128</v>
      </c>
      <c r="F46" t="s">
        <v>227</v>
      </c>
      <c r="G46">
        <f t="shared" si="0"/>
        <v>-145</v>
      </c>
      <c r="H46">
        <f t="shared" si="1"/>
        <v>-145</v>
      </c>
      <c r="I46">
        <f t="shared" si="2"/>
        <v>105</v>
      </c>
      <c r="J46">
        <f t="shared" si="3"/>
        <v>153</v>
      </c>
      <c r="K46">
        <f t="shared" si="4"/>
        <v>149</v>
      </c>
      <c r="L46">
        <f t="shared" si="5"/>
        <v>274</v>
      </c>
      <c r="M46">
        <f t="shared" si="6"/>
        <v>290</v>
      </c>
      <c r="N46">
        <f t="shared" si="7"/>
        <v>843</v>
      </c>
      <c r="O46">
        <f t="shared" si="8"/>
        <v>585</v>
      </c>
      <c r="P46">
        <f t="shared" si="9"/>
        <v>542</v>
      </c>
      <c r="Q46">
        <f t="shared" si="10"/>
        <v>1051</v>
      </c>
      <c r="R46">
        <f t="shared" si="11"/>
        <v>1284</v>
      </c>
      <c r="S46">
        <f t="shared" si="12"/>
        <v>1041</v>
      </c>
    </row>
    <row r="47" spans="1:43">
      <c r="A47" t="str">
        <f t="shared" si="13"/>
        <v>O'LEARY ITS</v>
      </c>
      <c r="B47" t="str">
        <f t="shared" si="14"/>
        <v>50º06.1’N</v>
      </c>
      <c r="C47" t="str">
        <f t="shared" si="15"/>
        <v>127º38.8’W</v>
      </c>
      <c r="D47" t="str">
        <f t="shared" si="16"/>
        <v>Y/W</v>
      </c>
      <c r="E47" t="s">
        <v>128</v>
      </c>
      <c r="F47" t="s">
        <v>227</v>
      </c>
      <c r="G47">
        <f t="shared" si="0"/>
        <v>331</v>
      </c>
      <c r="H47">
        <f t="shared" si="1"/>
        <v>-266</v>
      </c>
      <c r="I47">
        <f t="shared" si="2"/>
        <v>200</v>
      </c>
      <c r="J47">
        <f t="shared" si="3"/>
        <v>85</v>
      </c>
      <c r="K47">
        <f t="shared" si="4"/>
        <v>60</v>
      </c>
      <c r="L47">
        <f t="shared" si="5"/>
        <v>81</v>
      </c>
      <c r="M47">
        <f t="shared" si="6"/>
        <v>14</v>
      </c>
      <c r="N47">
        <f t="shared" si="7"/>
        <v>74</v>
      </c>
      <c r="O47">
        <f t="shared" si="8"/>
        <v>2</v>
      </c>
      <c r="P47">
        <f t="shared" si="9"/>
        <v>141</v>
      </c>
      <c r="Q47">
        <f t="shared" si="10"/>
        <v>0</v>
      </c>
      <c r="R47">
        <f t="shared" si="11"/>
        <v>0</v>
      </c>
      <c r="S47">
        <f t="shared" si="12"/>
        <v>0</v>
      </c>
    </row>
    <row r="48" spans="1:43">
      <c r="A48" t="str">
        <f t="shared" si="13"/>
        <v>SOLANDER ISL</v>
      </c>
      <c r="B48" t="str">
        <f t="shared" si="14"/>
        <v>50º06.7’N</v>
      </c>
      <c r="C48" t="str">
        <f t="shared" si="15"/>
        <v>127º56.4’W</v>
      </c>
      <c r="D48" t="str">
        <f t="shared" si="16"/>
        <v>W/Y</v>
      </c>
      <c r="E48" t="s">
        <v>128</v>
      </c>
      <c r="F48" t="s">
        <v>227</v>
      </c>
      <c r="G48">
        <f t="shared" si="0"/>
        <v>0</v>
      </c>
      <c r="H48">
        <f t="shared" si="1"/>
        <v>3</v>
      </c>
      <c r="I48">
        <f t="shared" si="2"/>
        <v>1</v>
      </c>
      <c r="J48">
        <f t="shared" si="3"/>
        <v>0</v>
      </c>
      <c r="K48">
        <f t="shared" si="4"/>
        <v>0</v>
      </c>
      <c r="L48">
        <f t="shared" si="5"/>
        <v>51</v>
      </c>
      <c r="M48">
        <f t="shared" si="6"/>
        <v>419</v>
      </c>
      <c r="N48">
        <f t="shared" si="7"/>
        <v>179</v>
      </c>
      <c r="O48">
        <f t="shared" si="8"/>
        <v>187</v>
      </c>
      <c r="P48">
        <f t="shared" si="9"/>
        <v>876</v>
      </c>
      <c r="Q48">
        <f t="shared" si="10"/>
        <v>320</v>
      </c>
      <c r="R48">
        <f t="shared" si="11"/>
        <v>632</v>
      </c>
      <c r="S48">
        <f t="shared" si="12"/>
        <v>338</v>
      </c>
    </row>
    <row r="49" spans="1:19">
      <c r="A49" t="str">
        <f t="shared" si="13"/>
        <v>CAPE SCOTT</v>
      </c>
      <c r="B49" t="str">
        <f>CONCATENATE(C17,D17)</f>
        <v>50º47.1’N</v>
      </c>
      <c r="C49" t="str">
        <f t="shared" si="15"/>
        <v>128º25.2’W</v>
      </c>
      <c r="D49" t="str">
        <f t="shared" si="16"/>
        <v>W</v>
      </c>
      <c r="E49" t="s">
        <v>128</v>
      </c>
      <c r="F49" t="s">
        <v>227</v>
      </c>
      <c r="G49">
        <f t="shared" si="0"/>
        <v>0</v>
      </c>
      <c r="H49">
        <f t="shared" si="1"/>
        <v>0</v>
      </c>
      <c r="I49">
        <f t="shared" si="2"/>
        <v>1</v>
      </c>
      <c r="J49">
        <f t="shared" si="3"/>
        <v>0</v>
      </c>
      <c r="K49">
        <f t="shared" si="4"/>
        <v>1</v>
      </c>
      <c r="L49">
        <f t="shared" si="5"/>
        <v>42</v>
      </c>
      <c r="M49">
        <f t="shared" si="6"/>
        <v>68</v>
      </c>
      <c r="N49">
        <f t="shared" si="7"/>
        <v>0</v>
      </c>
      <c r="O49">
        <f t="shared" si="8"/>
        <v>0</v>
      </c>
      <c r="P49">
        <f t="shared" si="9"/>
        <v>0</v>
      </c>
      <c r="Q49">
        <f t="shared" si="10"/>
        <v>0</v>
      </c>
      <c r="R49">
        <f t="shared" si="11"/>
        <v>0</v>
      </c>
      <c r="S49">
        <f t="shared" si="12"/>
        <v>0</v>
      </c>
    </row>
    <row r="50" spans="1:19">
      <c r="A50" t="str">
        <f>A20</f>
        <v>MAGGOT ISL</v>
      </c>
      <c r="B50" t="str">
        <f>CONCATENATE(C20,D20)</f>
        <v>50º48.1’N</v>
      </c>
      <c r="C50" t="str">
        <f>CONCATENATE(F20,G20)</f>
        <v>128º46.8’W</v>
      </c>
      <c r="D50" t="str">
        <f>H20</f>
        <v>R</v>
      </c>
      <c r="E50" t="s">
        <v>222</v>
      </c>
      <c r="F50" t="s">
        <v>227</v>
      </c>
      <c r="G50">
        <f t="shared" ref="G50:S53" si="17">K20</f>
        <v>418</v>
      </c>
      <c r="H50">
        <f t="shared" si="17"/>
        <v>416</v>
      </c>
      <c r="I50">
        <f t="shared" si="17"/>
        <v>627</v>
      </c>
      <c r="J50">
        <f t="shared" si="17"/>
        <v>442</v>
      </c>
      <c r="K50">
        <f t="shared" si="17"/>
        <v>550</v>
      </c>
      <c r="L50">
        <f t="shared" si="17"/>
        <v>511</v>
      </c>
      <c r="M50">
        <f t="shared" si="17"/>
        <v>371</v>
      </c>
      <c r="N50">
        <f t="shared" si="17"/>
        <v>245</v>
      </c>
      <c r="O50">
        <f t="shared" si="17"/>
        <v>455.5</v>
      </c>
      <c r="P50">
        <f t="shared" si="17"/>
        <v>590</v>
      </c>
      <c r="Q50">
        <f t="shared" si="17"/>
        <v>362</v>
      </c>
      <c r="R50">
        <f t="shared" si="17"/>
        <v>286</v>
      </c>
      <c r="S50">
        <f t="shared" si="17"/>
        <v>409</v>
      </c>
    </row>
    <row r="51" spans="1:19">
      <c r="A51" t="str">
        <f t="shared" ref="A51:A53" si="18">A21</f>
        <v>BERESFORD ISL</v>
      </c>
      <c r="B51" t="str">
        <f t="shared" ref="B51:B53" si="19">CONCATENATE(C21,D21)</f>
        <v>50º47.5’N</v>
      </c>
      <c r="C51" t="str">
        <f t="shared" ref="C51:C53" si="20">CONCATENATE(F21,G21)</f>
        <v>128º46.2’W</v>
      </c>
      <c r="D51" t="str">
        <f t="shared" ref="D51:D53" si="21">H21</f>
        <v>Y</v>
      </c>
      <c r="E51" t="s">
        <v>222</v>
      </c>
      <c r="F51" t="s">
        <v>227</v>
      </c>
      <c r="G51">
        <f t="shared" si="17"/>
        <v>71</v>
      </c>
      <c r="H51">
        <f t="shared" si="17"/>
        <v>6</v>
      </c>
      <c r="I51">
        <f t="shared" si="17"/>
        <v>24</v>
      </c>
      <c r="J51">
        <f t="shared" si="17"/>
        <v>100</v>
      </c>
      <c r="K51">
        <f t="shared" si="17"/>
        <v>124</v>
      </c>
      <c r="L51">
        <f t="shared" si="17"/>
        <v>164</v>
      </c>
      <c r="M51">
        <f t="shared" si="17"/>
        <v>119</v>
      </c>
      <c r="N51">
        <f t="shared" si="17"/>
        <v>5</v>
      </c>
      <c r="O51">
        <f t="shared" si="17"/>
        <v>146.5</v>
      </c>
      <c r="P51">
        <f t="shared" si="17"/>
        <v>13</v>
      </c>
      <c r="Q51">
        <f t="shared" si="17"/>
        <v>397</v>
      </c>
      <c r="R51">
        <f t="shared" si="17"/>
        <v>153</v>
      </c>
      <c r="S51">
        <f t="shared" si="17"/>
        <v>756</v>
      </c>
    </row>
    <row r="52" spans="1:19">
      <c r="A52" t="str">
        <f t="shared" si="18"/>
        <v>SARTINE ISL</v>
      </c>
      <c r="B52" t="str">
        <f t="shared" si="19"/>
        <v>50º49.2’N</v>
      </c>
      <c r="C52" t="str">
        <f t="shared" si="20"/>
        <v>128º54.2’W</v>
      </c>
      <c r="D52" t="str">
        <f t="shared" si="21"/>
        <v>R</v>
      </c>
      <c r="E52" t="s">
        <v>222</v>
      </c>
      <c r="F52" t="s">
        <v>227</v>
      </c>
      <c r="G52">
        <f t="shared" si="17"/>
        <v>628</v>
      </c>
      <c r="H52">
        <f t="shared" si="17"/>
        <v>616</v>
      </c>
      <c r="I52">
        <f t="shared" si="17"/>
        <v>879</v>
      </c>
      <c r="J52">
        <f t="shared" si="17"/>
        <v>806</v>
      </c>
      <c r="K52">
        <f t="shared" si="17"/>
        <v>600</v>
      </c>
      <c r="L52">
        <f t="shared" si="17"/>
        <v>575</v>
      </c>
      <c r="M52">
        <f t="shared" si="17"/>
        <v>343</v>
      </c>
      <c r="N52">
        <f t="shared" si="17"/>
        <v>262</v>
      </c>
      <c r="O52">
        <f t="shared" si="17"/>
        <v>268</v>
      </c>
      <c r="P52">
        <f t="shared" si="17"/>
        <v>379</v>
      </c>
      <c r="Q52">
        <f t="shared" si="17"/>
        <v>264</v>
      </c>
      <c r="R52">
        <f t="shared" si="17"/>
        <v>231</v>
      </c>
      <c r="S52">
        <f t="shared" si="17"/>
        <v>336</v>
      </c>
    </row>
    <row r="53" spans="1:19">
      <c r="A53" t="str">
        <f t="shared" si="18"/>
        <v>TRIANGLE ISL</v>
      </c>
      <c r="B53" t="str">
        <f t="shared" si="19"/>
        <v>50º52.3’N</v>
      </c>
      <c r="C53" t="str">
        <f t="shared" si="20"/>
        <v>129º04.6’W</v>
      </c>
      <c r="D53" t="str">
        <f t="shared" si="21"/>
        <v>R</v>
      </c>
      <c r="E53" t="s">
        <v>222</v>
      </c>
      <c r="F53" t="s">
        <v>227</v>
      </c>
      <c r="G53">
        <f t="shared" si="17"/>
        <v>550</v>
      </c>
      <c r="H53">
        <f t="shared" si="17"/>
        <v>375</v>
      </c>
      <c r="I53">
        <f t="shared" si="17"/>
        <v>570</v>
      </c>
      <c r="J53">
        <f t="shared" si="17"/>
        <v>376</v>
      </c>
      <c r="K53">
        <f t="shared" si="17"/>
        <v>1057</v>
      </c>
      <c r="L53">
        <f t="shared" si="17"/>
        <v>1603</v>
      </c>
      <c r="M53">
        <f t="shared" si="17"/>
        <v>1626</v>
      </c>
      <c r="N53">
        <f t="shared" si="17"/>
        <v>2540</v>
      </c>
      <c r="O53">
        <f t="shared" si="17"/>
        <v>2994.5</v>
      </c>
      <c r="P53">
        <f t="shared" si="17"/>
        <v>3576</v>
      </c>
      <c r="Q53">
        <f t="shared" si="17"/>
        <v>3645</v>
      </c>
      <c r="R53">
        <f t="shared" si="17"/>
        <v>4651</v>
      </c>
      <c r="S53">
        <f t="shared" si="17"/>
        <v>5348</v>
      </c>
    </row>
    <row r="54" spans="1:19">
      <c r="A54" t="str">
        <f>A26</f>
        <v>ASHBY PT</v>
      </c>
      <c r="B54" t="str">
        <f>CONCATENATE(C26,D26)</f>
        <v>50º56.5’N</v>
      </c>
      <c r="C54" t="str">
        <f>CONCATENATE(F26,G26)</f>
        <v>127º55.2’W</v>
      </c>
      <c r="D54" t="str">
        <f>H26</f>
        <v>W/Y</v>
      </c>
      <c r="E54" t="s">
        <v>223</v>
      </c>
      <c r="F54" t="s">
        <v>227</v>
      </c>
      <c r="G54">
        <f t="shared" ref="G54:S57" si="22">K26</f>
        <v>-3</v>
      </c>
      <c r="H54">
        <f t="shared" si="22"/>
        <v>-3</v>
      </c>
      <c r="I54">
        <f t="shared" si="22"/>
        <v>4</v>
      </c>
      <c r="J54">
        <f t="shared" si="22"/>
        <v>1</v>
      </c>
      <c r="K54">
        <f t="shared" si="22"/>
        <v>210</v>
      </c>
      <c r="L54">
        <f t="shared" si="22"/>
        <v>3</v>
      </c>
      <c r="M54">
        <f t="shared" si="22"/>
        <v>226</v>
      </c>
      <c r="N54">
        <f t="shared" si="22"/>
        <v>225</v>
      </c>
      <c r="O54">
        <f t="shared" si="22"/>
        <v>519</v>
      </c>
      <c r="P54">
        <f t="shared" si="22"/>
        <v>786</v>
      </c>
      <c r="Q54">
        <f t="shared" si="22"/>
        <v>541</v>
      </c>
      <c r="R54">
        <f t="shared" si="22"/>
        <v>479</v>
      </c>
      <c r="S54">
        <f t="shared" si="22"/>
        <v>676</v>
      </c>
    </row>
    <row r="55" spans="1:19">
      <c r="A55" t="str">
        <f t="shared" ref="A55:A57" si="23">A27</f>
        <v>BUCKLE GRP</v>
      </c>
      <c r="B55" t="str">
        <f t="shared" ref="B55:B56" si="24">CONCATENATE(C27,D27)</f>
        <v>50º56.5’N</v>
      </c>
      <c r="C55" t="str">
        <f t="shared" ref="C55:C56" si="25">CONCATENATE(F27,G27)</f>
        <v>127º39.4’W</v>
      </c>
      <c r="D55" t="str">
        <f t="shared" ref="D55:D56" si="26">H27</f>
        <v>W/Y</v>
      </c>
      <c r="E55" t="s">
        <v>223</v>
      </c>
      <c r="F55" t="s">
        <v>227</v>
      </c>
      <c r="G55">
        <f t="shared" si="22"/>
        <v>0</v>
      </c>
      <c r="H55">
        <f t="shared" si="22"/>
        <v>0</v>
      </c>
      <c r="I55">
        <f t="shared" si="22"/>
        <v>0</v>
      </c>
      <c r="J55">
        <f t="shared" si="22"/>
        <v>0</v>
      </c>
      <c r="K55">
        <f t="shared" si="22"/>
        <v>0</v>
      </c>
      <c r="L55">
        <f t="shared" si="22"/>
        <v>0</v>
      </c>
      <c r="M55">
        <f t="shared" si="22"/>
        <v>0</v>
      </c>
      <c r="N55">
        <f t="shared" si="22"/>
        <v>0</v>
      </c>
      <c r="O55">
        <f t="shared" si="22"/>
        <v>47</v>
      </c>
      <c r="P55">
        <f t="shared" si="22"/>
        <v>2</v>
      </c>
      <c r="Q55">
        <f t="shared" si="22"/>
        <v>0</v>
      </c>
      <c r="R55">
        <f t="shared" si="22"/>
        <v>461</v>
      </c>
      <c r="S55">
        <f t="shared" si="22"/>
        <v>437</v>
      </c>
    </row>
    <row r="56" spans="1:19">
      <c r="A56" t="str">
        <f t="shared" si="23"/>
        <v>MILLER GRP</v>
      </c>
      <c r="B56" t="str">
        <f t="shared" si="24"/>
        <v>50º54.6’N</v>
      </c>
      <c r="C56" t="str">
        <f t="shared" si="25"/>
        <v>127º26.5’W</v>
      </c>
      <c r="D56" t="str">
        <f t="shared" si="26"/>
        <v>W/Y</v>
      </c>
      <c r="E56" t="s">
        <v>223</v>
      </c>
      <c r="F56" t="s">
        <v>227</v>
      </c>
      <c r="G56">
        <f t="shared" si="22"/>
        <v>0</v>
      </c>
      <c r="H56">
        <f t="shared" si="22"/>
        <v>0</v>
      </c>
      <c r="I56">
        <f t="shared" si="22"/>
        <v>0</v>
      </c>
      <c r="J56">
        <f t="shared" si="22"/>
        <v>0</v>
      </c>
      <c r="K56">
        <f t="shared" si="22"/>
        <v>0</v>
      </c>
      <c r="L56">
        <f t="shared" si="22"/>
        <v>0</v>
      </c>
      <c r="M56">
        <f t="shared" si="22"/>
        <v>0</v>
      </c>
      <c r="N56">
        <f t="shared" si="22"/>
        <v>0</v>
      </c>
      <c r="O56">
        <f t="shared" si="22"/>
        <v>0</v>
      </c>
      <c r="P56">
        <f t="shared" si="22"/>
        <v>0</v>
      </c>
      <c r="Q56">
        <f t="shared" si="22"/>
        <v>151</v>
      </c>
      <c r="R56">
        <f t="shared" si="22"/>
        <v>140</v>
      </c>
      <c r="S56">
        <f t="shared" si="22"/>
        <v>157</v>
      </c>
    </row>
    <row r="57" spans="1:19">
      <c r="A57" t="str">
        <f t="shared" si="23"/>
        <v>EDEN ISL</v>
      </c>
      <c r="B57" t="str">
        <f t="shared" ref="B57" si="27">CONCATENATE(C29,D29)</f>
        <v>50º44.8’N</v>
      </c>
      <c r="C57" t="str">
        <f t="shared" ref="C57" si="28">CONCATENATE(F29,G29)</f>
        <v>126º43.3’W</v>
      </c>
      <c r="D57" t="str">
        <f t="shared" ref="D57" si="29">H29</f>
        <v>Y</v>
      </c>
      <c r="E57" t="s">
        <v>223</v>
      </c>
      <c r="F57" t="s">
        <v>227</v>
      </c>
      <c r="G57">
        <f t="shared" si="22"/>
        <v>0</v>
      </c>
      <c r="H57">
        <f t="shared" si="22"/>
        <v>0</v>
      </c>
      <c r="I57">
        <f t="shared" si="22"/>
        <v>0</v>
      </c>
      <c r="J57">
        <f t="shared" si="22"/>
        <v>0</v>
      </c>
      <c r="K57">
        <f t="shared" si="22"/>
        <v>0</v>
      </c>
      <c r="L57">
        <f t="shared" si="22"/>
        <v>0</v>
      </c>
      <c r="M57">
        <f t="shared" si="22"/>
        <v>0</v>
      </c>
      <c r="N57">
        <f t="shared" si="22"/>
        <v>0</v>
      </c>
      <c r="O57">
        <f t="shared" si="22"/>
        <v>0</v>
      </c>
      <c r="P57">
        <f t="shared" si="22"/>
        <v>0</v>
      </c>
      <c r="Q57">
        <f t="shared" si="22"/>
        <v>0</v>
      </c>
      <c r="R57">
        <f t="shared" si="22"/>
        <v>0</v>
      </c>
      <c r="S57">
        <f t="shared" si="22"/>
        <v>46</v>
      </c>
    </row>
    <row r="58" spans="1:19">
      <c r="A58" t="str">
        <f>Y5</f>
        <v>VIRGIN RKS</v>
      </c>
      <c r="B58" t="str">
        <f>CONCATENATE(Z5,AA5)</f>
        <v>51º16.8’N</v>
      </c>
      <c r="C58" t="str">
        <f>CONCATENATE(AB5,AC5)</f>
        <v>128º12.2’W</v>
      </c>
      <c r="D58" t="str">
        <f>AD5</f>
        <v>R</v>
      </c>
      <c r="E58" t="s">
        <v>228</v>
      </c>
      <c r="F58" t="s">
        <v>229</v>
      </c>
      <c r="G58">
        <f>AE5</f>
        <v>317</v>
      </c>
      <c r="H58">
        <f t="shared" ref="H58:S58" si="30">AF5</f>
        <v>205</v>
      </c>
      <c r="I58">
        <f t="shared" si="30"/>
        <v>62</v>
      </c>
      <c r="J58">
        <f t="shared" si="30"/>
        <v>190</v>
      </c>
      <c r="K58">
        <f t="shared" si="30"/>
        <v>229</v>
      </c>
      <c r="L58">
        <f t="shared" si="30"/>
        <v>157</v>
      </c>
      <c r="M58">
        <f t="shared" si="30"/>
        <v>131</v>
      </c>
      <c r="N58">
        <f t="shared" si="30"/>
        <v>168</v>
      </c>
      <c r="O58">
        <f t="shared" si="30"/>
        <v>419</v>
      </c>
      <c r="P58">
        <f t="shared" si="30"/>
        <v>516</v>
      </c>
      <c r="Q58">
        <f t="shared" si="30"/>
        <v>595</v>
      </c>
      <c r="R58">
        <f t="shared" si="30"/>
        <v>533</v>
      </c>
      <c r="S58">
        <f t="shared" si="30"/>
        <v>1086</v>
      </c>
    </row>
    <row r="59" spans="1:19">
      <c r="A59" t="str">
        <f t="shared" ref="A59:A64" si="31">Y6</f>
        <v>PEARL RKS</v>
      </c>
      <c r="B59" t="str">
        <f t="shared" ref="B59:B64" si="32">CONCATENATE(Z6,AA6)</f>
        <v>51º21.8’N</v>
      </c>
      <c r="C59" t="str">
        <f t="shared" ref="C59:C64" si="33">CONCATENATE(AB6,AC6)</f>
        <v>128º00.1’W</v>
      </c>
      <c r="D59" t="str">
        <f t="shared" ref="D59:D64" si="34">AD6</f>
        <v>Y</v>
      </c>
      <c r="E59" t="s">
        <v>228</v>
      </c>
      <c r="F59" t="s">
        <v>229</v>
      </c>
      <c r="G59">
        <f t="shared" ref="G59:S59" si="35">AE6</f>
        <v>100</v>
      </c>
      <c r="H59">
        <f t="shared" si="35"/>
        <v>81</v>
      </c>
      <c r="I59">
        <f t="shared" si="35"/>
        <v>276</v>
      </c>
      <c r="J59">
        <f t="shared" si="35"/>
        <v>23</v>
      </c>
      <c r="K59">
        <f t="shared" si="35"/>
        <v>128</v>
      </c>
      <c r="L59">
        <f t="shared" si="35"/>
        <v>126</v>
      </c>
      <c r="M59">
        <f t="shared" si="35"/>
        <v>98</v>
      </c>
      <c r="N59">
        <f t="shared" si="35"/>
        <v>199</v>
      </c>
      <c r="O59">
        <f t="shared" si="35"/>
        <v>467</v>
      </c>
      <c r="P59">
        <f t="shared" si="35"/>
        <v>449</v>
      </c>
      <c r="Q59">
        <f t="shared" si="35"/>
        <v>247</v>
      </c>
      <c r="R59">
        <f t="shared" si="35"/>
        <v>263</v>
      </c>
      <c r="S59">
        <f t="shared" si="35"/>
        <v>385</v>
      </c>
    </row>
    <row r="60" spans="1:19">
      <c r="A60" t="str">
        <f t="shared" si="31"/>
        <v>BLENHEIM ISL</v>
      </c>
      <c r="B60" t="str">
        <f t="shared" si="32"/>
        <v>51º48.5’N</v>
      </c>
      <c r="C60" t="str">
        <f t="shared" si="33"/>
        <v>128º15.2’W</v>
      </c>
      <c r="D60" t="str">
        <f t="shared" si="34"/>
        <v>Y</v>
      </c>
      <c r="E60" t="s">
        <v>228</v>
      </c>
      <c r="F60" t="s">
        <v>229</v>
      </c>
      <c r="G60">
        <f t="shared" ref="G60:S60" si="36">AE7</f>
        <v>0</v>
      </c>
      <c r="H60">
        <f t="shared" si="36"/>
        <v>0</v>
      </c>
      <c r="I60">
        <f t="shared" si="36"/>
        <v>0</v>
      </c>
      <c r="J60">
        <f t="shared" si="36"/>
        <v>0</v>
      </c>
      <c r="K60">
        <f t="shared" si="36"/>
        <v>0</v>
      </c>
      <c r="L60">
        <f t="shared" si="36"/>
        <v>0</v>
      </c>
      <c r="M60">
        <f t="shared" si="36"/>
        <v>0</v>
      </c>
      <c r="N60">
        <f t="shared" si="36"/>
        <v>0</v>
      </c>
      <c r="O60">
        <f t="shared" si="36"/>
        <v>0</v>
      </c>
      <c r="P60">
        <f t="shared" si="36"/>
        <v>0</v>
      </c>
      <c r="Q60">
        <f t="shared" si="36"/>
        <v>0</v>
      </c>
      <c r="R60">
        <f t="shared" si="36"/>
        <v>0</v>
      </c>
      <c r="S60">
        <f t="shared" si="36"/>
        <v>64</v>
      </c>
    </row>
    <row r="61" spans="1:19">
      <c r="A61" t="str">
        <f t="shared" si="31"/>
        <v>GOSLING RKS</v>
      </c>
      <c r="B61" t="str">
        <f t="shared" si="32"/>
        <v>51º52.1’N</v>
      </c>
      <c r="C61" t="str">
        <f t="shared" si="33"/>
        <v>128º27.6’W</v>
      </c>
      <c r="D61" t="str">
        <f t="shared" si="34"/>
        <v>R</v>
      </c>
      <c r="E61" t="s">
        <v>228</v>
      </c>
      <c r="F61" t="s">
        <v>229</v>
      </c>
      <c r="G61">
        <f t="shared" ref="G61:S61" si="37">AE8</f>
        <v>106</v>
      </c>
      <c r="H61">
        <f t="shared" si="37"/>
        <v>-93</v>
      </c>
      <c r="I61">
        <f t="shared" si="37"/>
        <v>37</v>
      </c>
      <c r="J61">
        <f t="shared" si="37"/>
        <v>179</v>
      </c>
      <c r="K61">
        <f t="shared" si="37"/>
        <v>135</v>
      </c>
      <c r="L61">
        <f t="shared" si="37"/>
        <v>72</v>
      </c>
      <c r="M61">
        <f t="shared" si="37"/>
        <v>192</v>
      </c>
      <c r="N61">
        <f t="shared" si="37"/>
        <v>133</v>
      </c>
      <c r="O61">
        <f t="shared" si="37"/>
        <v>160</v>
      </c>
      <c r="P61">
        <f t="shared" si="37"/>
        <v>257</v>
      </c>
      <c r="Q61">
        <f t="shared" si="37"/>
        <v>308</v>
      </c>
      <c r="R61">
        <f t="shared" si="37"/>
        <v>439</v>
      </c>
      <c r="S61">
        <f t="shared" si="37"/>
        <v>450</v>
      </c>
    </row>
    <row r="62" spans="1:19">
      <c r="A62" t="str">
        <f t="shared" si="31"/>
        <v>MCINNES ISL</v>
      </c>
      <c r="B62" t="str">
        <f t="shared" si="32"/>
        <v>52º15.8’N</v>
      </c>
      <c r="C62" t="str">
        <f t="shared" si="33"/>
        <v>128º43.3’W</v>
      </c>
      <c r="D62" t="str">
        <f t="shared" si="34"/>
        <v>Y</v>
      </c>
      <c r="E62" t="s">
        <v>228</v>
      </c>
      <c r="F62" t="s">
        <v>229</v>
      </c>
      <c r="G62">
        <f t="shared" ref="G62:S62" si="38">AE9</f>
        <v>196</v>
      </c>
      <c r="H62">
        <f t="shared" si="38"/>
        <v>-80</v>
      </c>
      <c r="I62">
        <f t="shared" si="38"/>
        <v>45</v>
      </c>
      <c r="J62">
        <f t="shared" si="38"/>
        <v>0</v>
      </c>
      <c r="K62">
        <f t="shared" si="38"/>
        <v>0</v>
      </c>
      <c r="L62">
        <f t="shared" si="38"/>
        <v>109</v>
      </c>
      <c r="M62">
        <f t="shared" si="38"/>
        <v>241</v>
      </c>
      <c r="N62">
        <f t="shared" si="38"/>
        <v>163</v>
      </c>
      <c r="O62">
        <f t="shared" si="38"/>
        <v>25</v>
      </c>
      <c r="P62">
        <f t="shared" si="38"/>
        <v>-81</v>
      </c>
      <c r="Q62">
        <f t="shared" si="38"/>
        <v>263</v>
      </c>
      <c r="R62">
        <f t="shared" si="38"/>
        <v>139</v>
      </c>
      <c r="S62">
        <f t="shared" si="38"/>
        <v>254</v>
      </c>
    </row>
    <row r="63" spans="1:19">
      <c r="A63" t="str">
        <f t="shared" si="31"/>
        <v>STEELE RK</v>
      </c>
      <c r="B63" t="str">
        <f t="shared" si="32"/>
        <v>52º27.8’N</v>
      </c>
      <c r="C63" t="str">
        <f t="shared" si="33"/>
        <v>129º22.3’W</v>
      </c>
      <c r="D63" t="str">
        <f t="shared" si="34"/>
        <v>Y</v>
      </c>
      <c r="E63" t="s">
        <v>228</v>
      </c>
      <c r="F63" t="s">
        <v>229</v>
      </c>
      <c r="G63">
        <f t="shared" ref="G63:S63" si="39">AE10</f>
        <v>-88</v>
      </c>
      <c r="H63">
        <f t="shared" si="39"/>
        <v>-88</v>
      </c>
      <c r="I63">
        <f t="shared" si="39"/>
        <v>85</v>
      </c>
      <c r="J63">
        <f t="shared" si="39"/>
        <v>150</v>
      </c>
      <c r="K63">
        <f t="shared" si="39"/>
        <v>7</v>
      </c>
      <c r="L63">
        <f t="shared" si="39"/>
        <v>35</v>
      </c>
      <c r="M63">
        <f t="shared" si="39"/>
        <v>137</v>
      </c>
      <c r="N63">
        <f t="shared" si="39"/>
        <v>227</v>
      </c>
      <c r="O63">
        <f t="shared" si="39"/>
        <v>101</v>
      </c>
      <c r="P63">
        <f t="shared" si="39"/>
        <v>92</v>
      </c>
      <c r="Q63">
        <f t="shared" si="39"/>
        <v>194</v>
      </c>
      <c r="R63">
        <f t="shared" si="39"/>
        <v>173</v>
      </c>
      <c r="S63">
        <f t="shared" si="39"/>
        <v>230</v>
      </c>
    </row>
    <row r="64" spans="1:19">
      <c r="A64" t="str">
        <f t="shared" si="31"/>
        <v>ASHDOWN ISL</v>
      </c>
      <c r="B64" t="str">
        <f t="shared" si="32"/>
        <v>53º03.0’N</v>
      </c>
      <c r="C64" t="str">
        <f t="shared" si="33"/>
        <v>129º12.7’W</v>
      </c>
      <c r="D64" t="str">
        <f t="shared" si="34"/>
        <v>Y</v>
      </c>
      <c r="E64" t="s">
        <v>228</v>
      </c>
      <c r="F64" t="s">
        <v>229</v>
      </c>
      <c r="G64">
        <f t="shared" ref="G64:S64" si="40">AE11</f>
        <v>0</v>
      </c>
      <c r="H64">
        <f t="shared" si="40"/>
        <v>0</v>
      </c>
      <c r="I64">
        <f t="shared" si="40"/>
        <v>0</v>
      </c>
      <c r="J64">
        <f t="shared" si="40"/>
        <v>-13</v>
      </c>
      <c r="K64">
        <f t="shared" si="40"/>
        <v>-13</v>
      </c>
      <c r="L64">
        <f t="shared" si="40"/>
        <v>25</v>
      </c>
      <c r="M64">
        <f t="shared" si="40"/>
        <v>-13</v>
      </c>
      <c r="N64">
        <f t="shared" si="40"/>
        <v>0</v>
      </c>
      <c r="O64">
        <f t="shared" si="40"/>
        <v>0</v>
      </c>
      <c r="P64">
        <f t="shared" si="40"/>
        <v>0</v>
      </c>
      <c r="Q64">
        <f t="shared" si="40"/>
        <v>0</v>
      </c>
      <c r="R64">
        <f t="shared" si="40"/>
        <v>17</v>
      </c>
      <c r="S64">
        <f t="shared" si="40"/>
        <v>536</v>
      </c>
    </row>
    <row r="65" spans="1:19">
      <c r="A65" t="str">
        <f>Y14</f>
        <v>ISNOR RK</v>
      </c>
      <c r="B65" t="str">
        <f>CONCATENATE(Z14,AA14)</f>
        <v>52º44.2’N</v>
      </c>
      <c r="C65" t="str">
        <f>CONCATENATE(AB14,AC14)</f>
        <v>129º31.8’W</v>
      </c>
      <c r="D65" t="str">
        <f>AD14</f>
        <v>Y</v>
      </c>
      <c r="E65" t="s">
        <v>230</v>
      </c>
      <c r="F65" t="s">
        <v>229</v>
      </c>
      <c r="G65" t="str">
        <f>AE22</f>
        <v>NA</v>
      </c>
      <c r="H65" t="str">
        <f t="shared" ref="H65:S65" si="41">AF22</f>
        <v>NA</v>
      </c>
      <c r="I65" t="str">
        <f t="shared" si="41"/>
        <v>NA</v>
      </c>
      <c r="J65" t="str">
        <f t="shared" si="41"/>
        <v>NA</v>
      </c>
      <c r="K65" t="str">
        <f t="shared" si="41"/>
        <v>NA</v>
      </c>
      <c r="L65" t="str">
        <f t="shared" si="41"/>
        <v>NA</v>
      </c>
      <c r="M65" t="str">
        <f t="shared" si="41"/>
        <v>NA</v>
      </c>
      <c r="N65">
        <f t="shared" si="41"/>
        <v>0</v>
      </c>
      <c r="O65">
        <f t="shared" si="41"/>
        <v>0</v>
      </c>
      <c r="P65">
        <f t="shared" si="41"/>
        <v>30</v>
      </c>
      <c r="Q65">
        <f t="shared" si="41"/>
        <v>132</v>
      </c>
      <c r="R65">
        <f t="shared" si="41"/>
        <v>57</v>
      </c>
      <c r="S65">
        <f t="shared" si="41"/>
        <v>51</v>
      </c>
    </row>
    <row r="66" spans="1:19">
      <c r="A66" t="str">
        <f t="shared" ref="A66:A69" si="42">Y15</f>
        <v>JOSEPH ISL</v>
      </c>
      <c r="B66" t="str">
        <f t="shared" ref="B66:B70" si="43">CONCATENATE(Z15,AA15)</f>
        <v>53º08.7’N</v>
      </c>
      <c r="C66" t="str">
        <f t="shared" ref="C66:C70" si="44">CONCATENATE(AB15,AC15)</f>
        <v>130º02.5’W</v>
      </c>
      <c r="D66" t="str">
        <f t="shared" ref="D66:D70" si="45">AD15</f>
        <v>Y</v>
      </c>
      <c r="E66" t="s">
        <v>230</v>
      </c>
      <c r="F66" t="s">
        <v>229</v>
      </c>
      <c r="G66">
        <f t="shared" ref="G66:S66" si="46">AE23</f>
        <v>207</v>
      </c>
      <c r="H66">
        <f t="shared" si="46"/>
        <v>105</v>
      </c>
      <c r="I66">
        <f t="shared" si="46"/>
        <v>88</v>
      </c>
      <c r="J66">
        <f t="shared" si="46"/>
        <v>36</v>
      </c>
      <c r="K66">
        <f t="shared" si="46"/>
        <v>482</v>
      </c>
      <c r="L66">
        <f t="shared" si="46"/>
        <v>489</v>
      </c>
      <c r="M66">
        <f t="shared" si="46"/>
        <v>538</v>
      </c>
      <c r="N66">
        <f t="shared" si="46"/>
        <v>216</v>
      </c>
      <c r="O66">
        <f t="shared" si="46"/>
        <v>370</v>
      </c>
      <c r="P66">
        <f t="shared" si="46"/>
        <v>253</v>
      </c>
      <c r="Q66">
        <f t="shared" si="46"/>
        <v>294</v>
      </c>
      <c r="R66">
        <f t="shared" si="46"/>
        <v>316</v>
      </c>
      <c r="S66">
        <f t="shared" si="46"/>
        <v>305</v>
      </c>
    </row>
    <row r="67" spans="1:19">
      <c r="A67" t="str">
        <f t="shared" si="42"/>
        <v>N DANGER RKS</v>
      </c>
      <c r="B67" t="str">
        <f t="shared" si="43"/>
        <v>53º15.3’N</v>
      </c>
      <c r="C67" t="str">
        <f t="shared" si="44"/>
        <v>130º20.5’W</v>
      </c>
      <c r="D67" t="str">
        <f t="shared" si="45"/>
        <v>R</v>
      </c>
      <c r="E67" t="s">
        <v>230</v>
      </c>
      <c r="F67" t="s">
        <v>229</v>
      </c>
      <c r="G67">
        <f t="shared" ref="G67:S67" si="47">AE24</f>
        <v>0</v>
      </c>
      <c r="H67">
        <f t="shared" si="47"/>
        <v>0</v>
      </c>
      <c r="I67">
        <f t="shared" si="47"/>
        <v>0</v>
      </c>
      <c r="J67">
        <f t="shared" si="47"/>
        <v>45</v>
      </c>
      <c r="K67">
        <f t="shared" si="47"/>
        <v>0</v>
      </c>
      <c r="L67">
        <f t="shared" si="47"/>
        <v>0</v>
      </c>
      <c r="M67">
        <f t="shared" si="47"/>
        <v>0</v>
      </c>
      <c r="N67">
        <f t="shared" si="47"/>
        <v>0</v>
      </c>
      <c r="O67">
        <f t="shared" si="47"/>
        <v>0</v>
      </c>
      <c r="P67">
        <f t="shared" si="47"/>
        <v>0</v>
      </c>
      <c r="Q67">
        <f t="shared" si="47"/>
        <v>0</v>
      </c>
      <c r="R67">
        <f t="shared" si="47"/>
        <v>0</v>
      </c>
      <c r="S67">
        <f t="shared" si="47"/>
        <v>0</v>
      </c>
    </row>
    <row r="68" spans="1:19">
      <c r="A68" t="str">
        <f t="shared" si="42"/>
        <v>BONILLA ISL</v>
      </c>
      <c r="B68" t="str">
        <f t="shared" si="43"/>
        <v>53º28.0’N</v>
      </c>
      <c r="C68" t="str">
        <f t="shared" si="44"/>
        <v>130º36.8’W</v>
      </c>
      <c r="D68" t="str">
        <f t="shared" si="45"/>
        <v>R</v>
      </c>
      <c r="E68" t="s">
        <v>230</v>
      </c>
      <c r="F68" t="s">
        <v>229</v>
      </c>
      <c r="G68" t="str">
        <f t="shared" ref="G68:S68" si="48">AE25</f>
        <v>NA</v>
      </c>
      <c r="H68" t="str">
        <f t="shared" si="48"/>
        <v>NA</v>
      </c>
      <c r="I68" t="str">
        <f t="shared" si="48"/>
        <v>NA</v>
      </c>
      <c r="J68" t="str">
        <f t="shared" si="48"/>
        <v>NA</v>
      </c>
      <c r="K68" t="str">
        <f t="shared" si="48"/>
        <v>NA</v>
      </c>
      <c r="L68" t="str">
        <f t="shared" si="48"/>
        <v>NA</v>
      </c>
      <c r="M68" t="str">
        <f t="shared" si="48"/>
        <v>NA</v>
      </c>
      <c r="N68" t="str">
        <f t="shared" si="48"/>
        <v>NA</v>
      </c>
      <c r="O68" t="str">
        <f t="shared" si="48"/>
        <v>NA</v>
      </c>
      <c r="P68" t="str">
        <f t="shared" si="48"/>
        <v>0?</v>
      </c>
      <c r="Q68">
        <f t="shared" si="48"/>
        <v>53</v>
      </c>
      <c r="R68">
        <f t="shared" si="48"/>
        <v>-64</v>
      </c>
      <c r="S68">
        <f t="shared" si="48"/>
        <v>159</v>
      </c>
    </row>
    <row r="69" spans="1:19">
      <c r="A69" t="str">
        <f t="shared" si="42"/>
        <v>WARRIOR RKS</v>
      </c>
      <c r="B69" t="str">
        <f t="shared" si="43"/>
        <v>54º03.9’N</v>
      </c>
      <c r="C69" t="str">
        <f t="shared" si="44"/>
        <v>130º51.1’W</v>
      </c>
      <c r="D69" t="str">
        <f t="shared" si="45"/>
        <v>Y</v>
      </c>
      <c r="E69" t="s">
        <v>230</v>
      </c>
      <c r="F69" t="s">
        <v>229</v>
      </c>
      <c r="G69">
        <f t="shared" ref="G69:S69" si="49">AE26</f>
        <v>0</v>
      </c>
      <c r="H69">
        <f t="shared" si="49"/>
        <v>0</v>
      </c>
      <c r="I69">
        <f t="shared" si="49"/>
        <v>0</v>
      </c>
      <c r="J69">
        <f t="shared" si="49"/>
        <v>0</v>
      </c>
      <c r="K69">
        <f t="shared" si="49"/>
        <v>0</v>
      </c>
      <c r="L69">
        <f t="shared" si="49"/>
        <v>0</v>
      </c>
      <c r="M69">
        <f t="shared" si="49"/>
        <v>0</v>
      </c>
      <c r="N69">
        <f t="shared" si="49"/>
        <v>0</v>
      </c>
      <c r="O69">
        <f t="shared" si="49"/>
        <v>0</v>
      </c>
      <c r="P69">
        <f t="shared" si="49"/>
        <v>0</v>
      </c>
      <c r="Q69">
        <f t="shared" si="49"/>
        <v>0</v>
      </c>
      <c r="R69">
        <f t="shared" si="49"/>
        <v>0</v>
      </c>
      <c r="S69">
        <f t="shared" si="49"/>
        <v>79</v>
      </c>
    </row>
    <row r="70" spans="1:19">
      <c r="A70" t="str">
        <f>Y19</f>
        <v>CHEARNLEY ITS</v>
      </c>
      <c r="B70" t="str">
        <f t="shared" si="43"/>
        <v>54º26.5’N</v>
      </c>
      <c r="C70" t="str">
        <f t="shared" si="44"/>
        <v>130º59.2’W</v>
      </c>
      <c r="D70" t="str">
        <f t="shared" si="45"/>
        <v>Y</v>
      </c>
      <c r="E70" t="s">
        <v>230</v>
      </c>
      <c r="F70" t="s">
        <v>229</v>
      </c>
      <c r="G70">
        <f t="shared" ref="G70:S70" si="50">AE27</f>
        <v>631</v>
      </c>
      <c r="H70">
        <f t="shared" si="50"/>
        <v>549</v>
      </c>
      <c r="I70">
        <f t="shared" si="50"/>
        <v>782</v>
      </c>
      <c r="J70">
        <f t="shared" si="50"/>
        <v>698</v>
      </c>
      <c r="K70">
        <f t="shared" si="50"/>
        <v>1021</v>
      </c>
      <c r="L70">
        <f t="shared" si="50"/>
        <v>867</v>
      </c>
      <c r="M70">
        <f t="shared" si="50"/>
        <v>797</v>
      </c>
      <c r="N70">
        <f t="shared" si="50"/>
        <v>763</v>
      </c>
      <c r="O70">
        <f t="shared" si="50"/>
        <v>982</v>
      </c>
      <c r="P70">
        <f t="shared" si="50"/>
        <v>1094</v>
      </c>
      <c r="Q70">
        <f t="shared" si="50"/>
        <v>811</v>
      </c>
      <c r="R70">
        <f t="shared" si="50"/>
        <v>1077</v>
      </c>
      <c r="S70">
        <f t="shared" si="50"/>
        <v>1228</v>
      </c>
    </row>
    <row r="71" spans="1:19">
      <c r="A71" t="str">
        <f>Y22</f>
        <v>ROSE SPIT</v>
      </c>
      <c r="B71" t="str">
        <f>CONCATENATE(Z22,AA22)</f>
        <v>54º12.7’N</v>
      </c>
      <c r="C71" t="str">
        <f>CONCATENATE(AB22,AC22)</f>
        <v>131º36.8’W</v>
      </c>
      <c r="D71" t="str">
        <f>AD22</f>
        <v>Y</v>
      </c>
      <c r="E71" t="s">
        <v>231</v>
      </c>
      <c r="F71" t="s">
        <v>229</v>
      </c>
      <c r="G71" t="str">
        <f>AE22</f>
        <v>NA</v>
      </c>
      <c r="H71" t="str">
        <f t="shared" ref="H71:S71" si="51">AF22</f>
        <v>NA</v>
      </c>
      <c r="I71" t="str">
        <f t="shared" si="51"/>
        <v>NA</v>
      </c>
      <c r="J71" t="str">
        <f t="shared" si="51"/>
        <v>NA</v>
      </c>
      <c r="K71" t="str">
        <f t="shared" si="51"/>
        <v>NA</v>
      </c>
      <c r="L71" t="str">
        <f t="shared" si="51"/>
        <v>NA</v>
      </c>
      <c r="M71" t="str">
        <f t="shared" si="51"/>
        <v>NA</v>
      </c>
      <c r="N71">
        <f t="shared" si="51"/>
        <v>0</v>
      </c>
      <c r="O71">
        <f t="shared" si="51"/>
        <v>0</v>
      </c>
      <c r="P71">
        <f t="shared" si="51"/>
        <v>30</v>
      </c>
      <c r="Q71">
        <f t="shared" si="51"/>
        <v>132</v>
      </c>
      <c r="R71">
        <f t="shared" si="51"/>
        <v>57</v>
      </c>
      <c r="S71">
        <f t="shared" si="51"/>
        <v>51</v>
      </c>
    </row>
    <row r="72" spans="1:19">
      <c r="A72" t="str">
        <f t="shared" ref="A72:A84" si="52">Y23</f>
        <v>REEF ISL</v>
      </c>
      <c r="B72" t="str">
        <f t="shared" ref="B72:B84" si="53">CONCATENATE(Z23,AA23)</f>
        <v>52º52.3’N</v>
      </c>
      <c r="C72" t="str">
        <f t="shared" ref="C72:C84" si="54">CONCATENATE(AB23,AC23)</f>
        <v>131º29.1’W</v>
      </c>
      <c r="D72" t="str">
        <f t="shared" ref="D72:D84" si="55">AD23</f>
        <v>Y</v>
      </c>
      <c r="E72" t="s">
        <v>231</v>
      </c>
      <c r="F72" t="s">
        <v>229</v>
      </c>
      <c r="G72">
        <f t="shared" ref="G72:S72" si="56">AE23</f>
        <v>207</v>
      </c>
      <c r="H72">
        <f t="shared" si="56"/>
        <v>105</v>
      </c>
      <c r="I72">
        <f t="shared" si="56"/>
        <v>88</v>
      </c>
      <c r="J72">
        <f t="shared" si="56"/>
        <v>36</v>
      </c>
      <c r="K72">
        <f t="shared" si="56"/>
        <v>482</v>
      </c>
      <c r="L72">
        <f t="shared" si="56"/>
        <v>489</v>
      </c>
      <c r="M72">
        <f t="shared" si="56"/>
        <v>538</v>
      </c>
      <c r="N72">
        <f t="shared" si="56"/>
        <v>216</v>
      </c>
      <c r="O72">
        <f t="shared" si="56"/>
        <v>370</v>
      </c>
      <c r="P72">
        <f t="shared" si="56"/>
        <v>253</v>
      </c>
      <c r="Q72">
        <f t="shared" si="56"/>
        <v>294</v>
      </c>
      <c r="R72">
        <f t="shared" si="56"/>
        <v>316</v>
      </c>
      <c r="S72">
        <f t="shared" si="56"/>
        <v>305</v>
      </c>
    </row>
    <row r="73" spans="1:19">
      <c r="A73" t="str">
        <f t="shared" si="52"/>
        <v>SKEDANS ISLS</v>
      </c>
      <c r="B73" t="str">
        <f t="shared" si="53"/>
        <v>52º57.2’N</v>
      </c>
      <c r="C73" t="str">
        <f t="shared" si="54"/>
        <v>131º33.1’W</v>
      </c>
      <c r="D73" t="str">
        <f t="shared" si="55"/>
        <v>W</v>
      </c>
      <c r="E73" t="s">
        <v>231</v>
      </c>
      <c r="F73" t="s">
        <v>229</v>
      </c>
      <c r="G73">
        <f t="shared" ref="G73:S73" si="57">AE24</f>
        <v>0</v>
      </c>
      <c r="H73">
        <f t="shared" si="57"/>
        <v>0</v>
      </c>
      <c r="I73">
        <f t="shared" si="57"/>
        <v>0</v>
      </c>
      <c r="J73">
        <f t="shared" si="57"/>
        <v>45</v>
      </c>
      <c r="K73">
        <f t="shared" si="57"/>
        <v>0</v>
      </c>
      <c r="L73">
        <f t="shared" si="57"/>
        <v>0</v>
      </c>
      <c r="M73">
        <f t="shared" si="57"/>
        <v>0</v>
      </c>
      <c r="N73">
        <f t="shared" si="57"/>
        <v>0</v>
      </c>
      <c r="O73">
        <f t="shared" si="57"/>
        <v>0</v>
      </c>
      <c r="P73">
        <f t="shared" si="57"/>
        <v>0</v>
      </c>
      <c r="Q73">
        <f t="shared" si="57"/>
        <v>0</v>
      </c>
      <c r="R73">
        <f t="shared" si="57"/>
        <v>0</v>
      </c>
      <c r="S73">
        <f t="shared" si="57"/>
        <v>0</v>
      </c>
    </row>
    <row r="74" spans="1:19">
      <c r="A74" t="str">
        <f t="shared" si="52"/>
        <v>JOYCE RKS</v>
      </c>
      <c r="B74" t="str">
        <f t="shared" si="53"/>
        <v>52º20.2’N</v>
      </c>
      <c r="C74" t="str">
        <f t="shared" si="54"/>
        <v>131º07.9’W</v>
      </c>
      <c r="D74" t="str">
        <f t="shared" si="55"/>
        <v>Y</v>
      </c>
      <c r="E74" t="s">
        <v>231</v>
      </c>
      <c r="F74" t="s">
        <v>229</v>
      </c>
      <c r="G74" t="str">
        <f t="shared" ref="G74:S74" si="58">AE25</f>
        <v>NA</v>
      </c>
      <c r="H74" t="str">
        <f t="shared" si="58"/>
        <v>NA</v>
      </c>
      <c r="I74" t="str">
        <f t="shared" si="58"/>
        <v>NA</v>
      </c>
      <c r="J74" t="str">
        <f t="shared" si="58"/>
        <v>NA</v>
      </c>
      <c r="K74" t="str">
        <f t="shared" si="58"/>
        <v>NA</v>
      </c>
      <c r="L74" t="str">
        <f t="shared" si="58"/>
        <v>NA</v>
      </c>
      <c r="M74" t="str">
        <f t="shared" si="58"/>
        <v>NA</v>
      </c>
      <c r="N74" t="str">
        <f t="shared" si="58"/>
        <v>NA</v>
      </c>
      <c r="O74" t="str">
        <f t="shared" si="58"/>
        <v>NA</v>
      </c>
      <c r="P74" t="str">
        <f t="shared" si="58"/>
        <v>0?</v>
      </c>
      <c r="Q74">
        <f t="shared" si="58"/>
        <v>53</v>
      </c>
      <c r="R74">
        <f t="shared" si="58"/>
        <v>-64</v>
      </c>
      <c r="S74">
        <f t="shared" si="58"/>
        <v>159</v>
      </c>
    </row>
    <row r="75" spans="1:19">
      <c r="A75" t="str">
        <f t="shared" si="52"/>
        <v>TATSUNG RK</v>
      </c>
      <c r="B75" t="str">
        <f t="shared" si="53"/>
        <v>52º32.6’N</v>
      </c>
      <c r="C75" t="str">
        <f t="shared" si="54"/>
        <v>131º21.4’W</v>
      </c>
      <c r="D75" t="str">
        <f t="shared" si="55"/>
        <v>Y</v>
      </c>
      <c r="E75" t="s">
        <v>231</v>
      </c>
      <c r="F75" t="s">
        <v>229</v>
      </c>
      <c r="G75">
        <f t="shared" ref="G75:S75" si="59">AE26</f>
        <v>0</v>
      </c>
      <c r="H75">
        <f t="shared" si="59"/>
        <v>0</v>
      </c>
      <c r="I75">
        <f t="shared" si="59"/>
        <v>0</v>
      </c>
      <c r="J75">
        <f t="shared" si="59"/>
        <v>0</v>
      </c>
      <c r="K75">
        <f t="shared" si="59"/>
        <v>0</v>
      </c>
      <c r="L75">
        <f t="shared" si="59"/>
        <v>0</v>
      </c>
      <c r="M75">
        <f t="shared" si="59"/>
        <v>0</v>
      </c>
      <c r="N75">
        <f t="shared" si="59"/>
        <v>0</v>
      </c>
      <c r="O75">
        <f t="shared" si="59"/>
        <v>0</v>
      </c>
      <c r="P75">
        <f t="shared" si="59"/>
        <v>0</v>
      </c>
      <c r="Q75">
        <f t="shared" si="59"/>
        <v>0</v>
      </c>
      <c r="R75">
        <f t="shared" si="59"/>
        <v>0</v>
      </c>
      <c r="S75">
        <f t="shared" si="59"/>
        <v>79</v>
      </c>
    </row>
    <row r="76" spans="1:19">
      <c r="A76" t="str">
        <f t="shared" si="52"/>
        <v>CAPE ST. JAMES</v>
      </c>
      <c r="B76" t="str">
        <f t="shared" si="53"/>
        <v>51º54.7’N</v>
      </c>
      <c r="C76" t="str">
        <f t="shared" si="54"/>
        <v>130º58.9’W</v>
      </c>
      <c r="D76" t="str">
        <f t="shared" si="55"/>
        <v>R</v>
      </c>
      <c r="E76" t="s">
        <v>231</v>
      </c>
      <c r="F76" t="s">
        <v>229</v>
      </c>
      <c r="G76">
        <f t="shared" ref="G76:S76" si="60">AE27</f>
        <v>631</v>
      </c>
      <c r="H76">
        <f t="shared" si="60"/>
        <v>549</v>
      </c>
      <c r="I76">
        <f t="shared" si="60"/>
        <v>782</v>
      </c>
      <c r="J76">
        <f t="shared" si="60"/>
        <v>698</v>
      </c>
      <c r="K76">
        <f t="shared" si="60"/>
        <v>1021</v>
      </c>
      <c r="L76">
        <f t="shared" si="60"/>
        <v>867</v>
      </c>
      <c r="M76">
        <f t="shared" si="60"/>
        <v>797</v>
      </c>
      <c r="N76">
        <f t="shared" si="60"/>
        <v>763</v>
      </c>
      <c r="O76">
        <f t="shared" si="60"/>
        <v>982</v>
      </c>
      <c r="P76">
        <f t="shared" si="60"/>
        <v>1094</v>
      </c>
      <c r="Q76">
        <f t="shared" si="60"/>
        <v>811</v>
      </c>
      <c r="R76">
        <f t="shared" si="60"/>
        <v>1077</v>
      </c>
      <c r="S76">
        <f t="shared" si="60"/>
        <v>1228</v>
      </c>
    </row>
    <row r="77" spans="1:19">
      <c r="A77" t="str">
        <f t="shared" si="52"/>
        <v>S TASU HD</v>
      </c>
      <c r="B77" t="str">
        <f t="shared" si="53"/>
        <v>52º42.2’N</v>
      </c>
      <c r="C77" t="str">
        <f t="shared" si="54"/>
        <v>132º04.5’W</v>
      </c>
      <c r="D77" t="str">
        <f t="shared" si="55"/>
        <v>Y</v>
      </c>
      <c r="E77" t="s">
        <v>231</v>
      </c>
      <c r="F77" t="s">
        <v>229</v>
      </c>
      <c r="G77">
        <f t="shared" ref="G77:S77" si="61">AE28</f>
        <v>76</v>
      </c>
      <c r="H77">
        <f t="shared" si="61"/>
        <v>375</v>
      </c>
      <c r="I77">
        <f t="shared" si="61"/>
        <v>278</v>
      </c>
      <c r="J77">
        <f t="shared" si="61"/>
        <v>117</v>
      </c>
      <c r="K77">
        <f t="shared" si="61"/>
        <v>263</v>
      </c>
      <c r="L77">
        <f t="shared" si="61"/>
        <v>80</v>
      </c>
      <c r="M77">
        <f t="shared" si="61"/>
        <v>196</v>
      </c>
      <c r="N77">
        <f t="shared" si="61"/>
        <v>285</v>
      </c>
      <c r="O77">
        <f t="shared" si="61"/>
        <v>151</v>
      </c>
      <c r="P77">
        <f t="shared" si="61"/>
        <v>47</v>
      </c>
      <c r="Q77">
        <f t="shared" si="61"/>
        <v>98</v>
      </c>
      <c r="R77">
        <f t="shared" si="61"/>
        <v>251</v>
      </c>
      <c r="S77">
        <f t="shared" si="61"/>
        <v>249</v>
      </c>
    </row>
    <row r="78" spans="1:19">
      <c r="A78" t="str">
        <f t="shared" si="52"/>
        <v>MORESBY ITS</v>
      </c>
      <c r="B78" t="str">
        <f t="shared" si="53"/>
        <v>52º58.4’N</v>
      </c>
      <c r="C78" t="str">
        <f t="shared" si="54"/>
        <v>132º21.6’W</v>
      </c>
      <c r="D78" t="str">
        <f t="shared" si="55"/>
        <v>W</v>
      </c>
      <c r="E78" t="s">
        <v>231</v>
      </c>
      <c r="F78" t="s">
        <v>229</v>
      </c>
      <c r="G78">
        <f t="shared" ref="G78:S78" si="62">AE29</f>
        <v>0</v>
      </c>
      <c r="H78">
        <f t="shared" si="62"/>
        <v>0</v>
      </c>
      <c r="I78">
        <f t="shared" si="62"/>
        <v>0</v>
      </c>
      <c r="J78">
        <f t="shared" si="62"/>
        <v>0</v>
      </c>
      <c r="K78">
        <f t="shared" si="62"/>
        <v>0</v>
      </c>
      <c r="L78">
        <f t="shared" si="62"/>
        <v>3</v>
      </c>
      <c r="M78">
        <f t="shared" si="62"/>
        <v>115</v>
      </c>
      <c r="N78">
        <f t="shared" si="62"/>
        <v>65</v>
      </c>
      <c r="O78">
        <f t="shared" si="62"/>
        <v>2</v>
      </c>
      <c r="P78">
        <f t="shared" si="62"/>
        <v>1</v>
      </c>
      <c r="Q78">
        <f t="shared" si="62"/>
        <v>0</v>
      </c>
      <c r="R78">
        <f t="shared" si="62"/>
        <v>0</v>
      </c>
      <c r="S78">
        <f t="shared" si="62"/>
        <v>76</v>
      </c>
    </row>
    <row r="79" spans="1:19">
      <c r="A79" t="str">
        <f t="shared" si="52"/>
        <v>MARBLE ISL</v>
      </c>
      <c r="B79" t="str">
        <f t="shared" si="53"/>
        <v>53º12.3’N</v>
      </c>
      <c r="C79" t="str">
        <f t="shared" si="54"/>
        <v>132º39.1’W</v>
      </c>
      <c r="D79" t="str">
        <f t="shared" si="55"/>
        <v>Y</v>
      </c>
      <c r="E79" t="s">
        <v>231</v>
      </c>
      <c r="F79" t="s">
        <v>229</v>
      </c>
      <c r="G79">
        <f t="shared" ref="G79:S79" si="63">AE30</f>
        <v>0</v>
      </c>
      <c r="H79">
        <f t="shared" si="63"/>
        <v>0</v>
      </c>
      <c r="I79">
        <f t="shared" si="63"/>
        <v>0</v>
      </c>
      <c r="J79">
        <f t="shared" si="63"/>
        <v>0</v>
      </c>
      <c r="K79">
        <f t="shared" si="63"/>
        <v>0</v>
      </c>
      <c r="L79">
        <f t="shared" si="63"/>
        <v>0</v>
      </c>
      <c r="M79">
        <f t="shared" si="63"/>
        <v>0</v>
      </c>
      <c r="N79">
        <f t="shared" si="63"/>
        <v>0</v>
      </c>
      <c r="O79">
        <f t="shared" si="63"/>
        <v>0</v>
      </c>
      <c r="P79">
        <f t="shared" si="63"/>
        <v>0</v>
      </c>
      <c r="Q79">
        <f t="shared" si="63"/>
        <v>0</v>
      </c>
      <c r="R79">
        <f t="shared" si="63"/>
        <v>0</v>
      </c>
      <c r="S79">
        <f t="shared" si="63"/>
        <v>67</v>
      </c>
    </row>
    <row r="80" spans="1:19">
      <c r="A80" t="str">
        <f t="shared" si="52"/>
        <v>CONE HD</v>
      </c>
      <c r="B80" t="str">
        <f t="shared" si="53"/>
        <v>53º22.6’N</v>
      </c>
      <c r="C80" t="str">
        <f t="shared" si="54"/>
        <v>132º43.3’W</v>
      </c>
      <c r="D80" t="str">
        <f t="shared" si="55"/>
        <v>W/Y</v>
      </c>
      <c r="E80" t="s">
        <v>231</v>
      </c>
      <c r="F80" t="s">
        <v>229</v>
      </c>
      <c r="G80">
        <f t="shared" ref="G80:S80" si="64">AE31</f>
        <v>0</v>
      </c>
      <c r="H80">
        <f t="shared" si="64"/>
        <v>0</v>
      </c>
      <c r="I80">
        <f t="shared" si="64"/>
        <v>0</v>
      </c>
      <c r="J80">
        <f t="shared" si="64"/>
        <v>0</v>
      </c>
      <c r="K80">
        <f t="shared" si="64"/>
        <v>0</v>
      </c>
      <c r="L80">
        <f t="shared" si="64"/>
        <v>70</v>
      </c>
      <c r="M80">
        <f t="shared" si="64"/>
        <v>21</v>
      </c>
      <c r="N80">
        <f t="shared" si="64"/>
        <v>1</v>
      </c>
      <c r="O80">
        <f t="shared" si="64"/>
        <v>131</v>
      </c>
      <c r="P80">
        <f t="shared" si="64"/>
        <v>27</v>
      </c>
      <c r="Q80">
        <f t="shared" si="64"/>
        <v>85</v>
      </c>
      <c r="R80">
        <f t="shared" si="64"/>
        <v>97</v>
      </c>
      <c r="S80">
        <f t="shared" si="64"/>
        <v>208</v>
      </c>
    </row>
    <row r="81" spans="1:19">
      <c r="A81" t="str">
        <f t="shared" si="52"/>
        <v>JOSEPH RKS</v>
      </c>
      <c r="B81" t="str">
        <f t="shared" si="53"/>
        <v>53º48.8’N</v>
      </c>
      <c r="C81" t="str">
        <f t="shared" si="54"/>
        <v>133º08.0’W</v>
      </c>
      <c r="D81" t="str">
        <f t="shared" si="55"/>
        <v>Y</v>
      </c>
      <c r="E81" t="s">
        <v>231</v>
      </c>
      <c r="F81" t="s">
        <v>229</v>
      </c>
      <c r="G81">
        <f t="shared" ref="G81:S81" si="65">AE32</f>
        <v>408</v>
      </c>
      <c r="H81">
        <f t="shared" si="65"/>
        <v>-391</v>
      </c>
      <c r="I81">
        <f t="shared" si="65"/>
        <v>399</v>
      </c>
      <c r="J81">
        <f t="shared" si="65"/>
        <v>366</v>
      </c>
      <c r="K81">
        <f t="shared" si="65"/>
        <v>309</v>
      </c>
      <c r="L81">
        <f t="shared" si="65"/>
        <v>327</v>
      </c>
      <c r="M81">
        <f t="shared" si="65"/>
        <v>397</v>
      </c>
      <c r="N81">
        <f t="shared" si="65"/>
        <v>601</v>
      </c>
      <c r="O81">
        <f t="shared" si="65"/>
        <v>696</v>
      </c>
      <c r="P81">
        <f t="shared" si="65"/>
        <v>770</v>
      </c>
      <c r="Q81">
        <f t="shared" si="65"/>
        <v>-511</v>
      </c>
      <c r="R81">
        <f t="shared" si="65"/>
        <v>339</v>
      </c>
      <c r="S81">
        <f t="shared" si="65"/>
        <v>253</v>
      </c>
    </row>
    <row r="82" spans="1:19">
      <c r="A82" t="str">
        <f t="shared" si="52"/>
        <v>LANGARA ISL</v>
      </c>
      <c r="B82" t="str">
        <f t="shared" si="53"/>
        <v>54º15.6’N</v>
      </c>
      <c r="C82" t="str">
        <f t="shared" si="54"/>
        <v>133º00.9’W</v>
      </c>
      <c r="D82" t="str">
        <f t="shared" si="55"/>
        <v>W/Y</v>
      </c>
      <c r="E82" t="s">
        <v>231</v>
      </c>
      <c r="F82" t="s">
        <v>229</v>
      </c>
      <c r="G82">
        <f t="shared" ref="G82:S82" si="66">AE33</f>
        <v>6</v>
      </c>
      <c r="H82">
        <f t="shared" si="66"/>
        <v>-3</v>
      </c>
      <c r="I82">
        <f t="shared" si="66"/>
        <v>0</v>
      </c>
      <c r="J82">
        <f t="shared" si="66"/>
        <v>3</v>
      </c>
      <c r="K82">
        <f t="shared" si="66"/>
        <v>3</v>
      </c>
      <c r="L82">
        <f t="shared" si="66"/>
        <v>-2</v>
      </c>
      <c r="M82">
        <f t="shared" si="66"/>
        <v>0</v>
      </c>
      <c r="N82">
        <f t="shared" si="66"/>
        <v>217</v>
      </c>
      <c r="O82">
        <f t="shared" si="66"/>
        <v>3</v>
      </c>
      <c r="P82">
        <f t="shared" si="66"/>
        <v>484</v>
      </c>
      <c r="Q82">
        <f t="shared" si="66"/>
        <v>-218</v>
      </c>
      <c r="R82">
        <f t="shared" si="66"/>
        <v>98</v>
      </c>
      <c r="S82">
        <f t="shared" si="66"/>
        <v>332</v>
      </c>
    </row>
    <row r="83" spans="1:19">
      <c r="A83" t="str">
        <f t="shared" si="52"/>
        <v>ANTHONY ISL</v>
      </c>
      <c r="B83" t="str">
        <f t="shared" si="53"/>
        <v>52º06.2’N</v>
      </c>
      <c r="C83" t="str">
        <f t="shared" si="54"/>
        <v>131º14.4’W</v>
      </c>
      <c r="D83" t="str">
        <f t="shared" si="55"/>
        <v>Y</v>
      </c>
      <c r="E83" t="s">
        <v>231</v>
      </c>
      <c r="F83" t="s">
        <v>229</v>
      </c>
      <c r="G83" t="str">
        <f t="shared" ref="G83:S83" si="67">AE34</f>
        <v>NA</v>
      </c>
      <c r="H83" t="str">
        <f t="shared" si="67"/>
        <v>NA</v>
      </c>
      <c r="I83" t="str">
        <f t="shared" si="67"/>
        <v>NA</v>
      </c>
      <c r="J83" t="str">
        <f t="shared" si="67"/>
        <v>0?</v>
      </c>
      <c r="K83">
        <f t="shared" si="67"/>
        <v>44</v>
      </c>
      <c r="L83">
        <f t="shared" si="67"/>
        <v>279</v>
      </c>
      <c r="M83">
        <f t="shared" si="67"/>
        <v>617</v>
      </c>
      <c r="N83">
        <f t="shared" si="67"/>
        <v>359</v>
      </c>
      <c r="O83">
        <f t="shared" si="67"/>
        <v>313</v>
      </c>
      <c r="P83">
        <f t="shared" si="67"/>
        <v>513</v>
      </c>
      <c r="Q83">
        <f t="shared" si="67"/>
        <v>473</v>
      </c>
      <c r="R83">
        <f t="shared" si="67"/>
        <v>186</v>
      </c>
      <c r="S83">
        <f t="shared" si="67"/>
        <v>518</v>
      </c>
    </row>
    <row r="84" spans="1:19">
      <c r="A84" t="str">
        <f t="shared" si="52"/>
        <v>GARCIN RKS</v>
      </c>
      <c r="B84" t="str">
        <f t="shared" si="53"/>
        <v>52º12.8’N</v>
      </c>
      <c r="C84" t="str">
        <f t="shared" si="54"/>
        <v>130º57.6’W</v>
      </c>
      <c r="D84" t="str">
        <f t="shared" si="55"/>
        <v>R</v>
      </c>
      <c r="E84" t="s">
        <v>231</v>
      </c>
      <c r="F84" t="s">
        <v>229</v>
      </c>
      <c r="G84" t="str">
        <f t="shared" ref="G84:S84" si="68">AE35</f>
        <v>NA</v>
      </c>
      <c r="H84" t="str">
        <f t="shared" si="68"/>
        <v>NA</v>
      </c>
      <c r="I84" t="str">
        <f t="shared" si="68"/>
        <v>NA</v>
      </c>
      <c r="J84" t="str">
        <f t="shared" si="68"/>
        <v>NA</v>
      </c>
      <c r="K84" t="str">
        <f t="shared" si="68"/>
        <v>NA</v>
      </c>
      <c r="L84" t="str">
        <f t="shared" si="68"/>
        <v>NA</v>
      </c>
      <c r="M84" t="str">
        <f t="shared" si="68"/>
        <v>NA</v>
      </c>
      <c r="N84" t="str">
        <f t="shared" si="68"/>
        <v>0?</v>
      </c>
      <c r="O84">
        <f t="shared" si="68"/>
        <v>329</v>
      </c>
      <c r="P84">
        <f t="shared" si="68"/>
        <v>261</v>
      </c>
      <c r="Q84">
        <f t="shared" si="68"/>
        <v>305</v>
      </c>
      <c r="R84">
        <f t="shared" si="68"/>
        <v>565</v>
      </c>
      <c r="S84">
        <f t="shared" si="68"/>
        <v>677</v>
      </c>
    </row>
  </sheetData>
  <mergeCells count="107">
    <mergeCell ref="A1:A3"/>
    <mergeCell ref="B1:D3"/>
    <mergeCell ref="E1:I3"/>
    <mergeCell ref="T1:T3"/>
    <mergeCell ref="U1:U3"/>
    <mergeCell ref="V1:V3"/>
    <mergeCell ref="A4:W4"/>
    <mergeCell ref="A5:B5"/>
    <mergeCell ref="D5:E5"/>
    <mergeCell ref="G5:H5"/>
    <mergeCell ref="I5:J5"/>
    <mergeCell ref="A6:B6"/>
    <mergeCell ref="D6:E6"/>
    <mergeCell ref="G6:H6"/>
    <mergeCell ref="I6:J6"/>
    <mergeCell ref="A9:B9"/>
    <mergeCell ref="D9:E9"/>
    <mergeCell ref="G9:H9"/>
    <mergeCell ref="I9:J9"/>
    <mergeCell ref="A10:B10"/>
    <mergeCell ref="D10:E10"/>
    <mergeCell ref="G10:H10"/>
    <mergeCell ref="I10:J10"/>
    <mergeCell ref="A7:B7"/>
    <mergeCell ref="D7:E7"/>
    <mergeCell ref="G7:H7"/>
    <mergeCell ref="I7:J7"/>
    <mergeCell ref="A8:B8"/>
    <mergeCell ref="D8:E8"/>
    <mergeCell ref="G8:H8"/>
    <mergeCell ref="I8:J8"/>
    <mergeCell ref="A13:B13"/>
    <mergeCell ref="D13:E13"/>
    <mergeCell ref="G13:H13"/>
    <mergeCell ref="I13:J13"/>
    <mergeCell ref="A14:B14"/>
    <mergeCell ref="D14:E14"/>
    <mergeCell ref="G14:H14"/>
    <mergeCell ref="I14:J14"/>
    <mergeCell ref="A11:B11"/>
    <mergeCell ref="D11:E11"/>
    <mergeCell ref="G11:H11"/>
    <mergeCell ref="I11:J11"/>
    <mergeCell ref="A12:B12"/>
    <mergeCell ref="D12:E12"/>
    <mergeCell ref="G12:H12"/>
    <mergeCell ref="I12:J12"/>
    <mergeCell ref="A17:B17"/>
    <mergeCell ref="D17:E17"/>
    <mergeCell ref="G17:H17"/>
    <mergeCell ref="I17:J17"/>
    <mergeCell ref="A18:B18"/>
    <mergeCell ref="D18:E18"/>
    <mergeCell ref="G18:H18"/>
    <mergeCell ref="I18:J18"/>
    <mergeCell ref="A15:B15"/>
    <mergeCell ref="D15:E15"/>
    <mergeCell ref="G15:H15"/>
    <mergeCell ref="I15:J15"/>
    <mergeCell ref="A16:B16"/>
    <mergeCell ref="D16:E16"/>
    <mergeCell ref="G16:H16"/>
    <mergeCell ref="I16:J16"/>
    <mergeCell ref="A22:B22"/>
    <mergeCell ref="D22:E22"/>
    <mergeCell ref="H22:J22"/>
    <mergeCell ref="A23:B23"/>
    <mergeCell ref="D23:E23"/>
    <mergeCell ref="H23:J23"/>
    <mergeCell ref="A19:W19"/>
    <mergeCell ref="A20:B20"/>
    <mergeCell ref="D20:E20"/>
    <mergeCell ref="H20:J20"/>
    <mergeCell ref="A21:B21"/>
    <mergeCell ref="D21:E21"/>
    <mergeCell ref="H21:J21"/>
    <mergeCell ref="A27:B27"/>
    <mergeCell ref="D27:E27"/>
    <mergeCell ref="H27:J27"/>
    <mergeCell ref="A28:B28"/>
    <mergeCell ref="D28:E28"/>
    <mergeCell ref="H28:J28"/>
    <mergeCell ref="A24:B24"/>
    <mergeCell ref="D24:E24"/>
    <mergeCell ref="H24:J24"/>
    <mergeCell ref="A25:W25"/>
    <mergeCell ref="A26:B26"/>
    <mergeCell ref="D26:E26"/>
    <mergeCell ref="H26:J26"/>
    <mergeCell ref="A31:B31"/>
    <mergeCell ref="D31:E31"/>
    <mergeCell ref="H31:J31"/>
    <mergeCell ref="A29:B29"/>
    <mergeCell ref="D29:E29"/>
    <mergeCell ref="H29:J29"/>
    <mergeCell ref="A30:B30"/>
    <mergeCell ref="D30:E30"/>
    <mergeCell ref="H30:J30"/>
    <mergeCell ref="Y1:Y3"/>
    <mergeCell ref="Z1:AA3"/>
    <mergeCell ref="AB1:AC3"/>
    <mergeCell ref="AN1:AN3"/>
    <mergeCell ref="AO1:AO3"/>
    <mergeCell ref="AP1:AP3"/>
    <mergeCell ref="Y4:AQ4"/>
    <mergeCell ref="Y13:AQ13"/>
    <mergeCell ref="Y21:AQ2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5"/>
  <sheetViews>
    <sheetView tabSelected="1" zoomScale="150" zoomScaleNormal="150" zoomScalePageLayoutView="150" workbookViewId="0">
      <selection activeCell="L5" sqref="L5"/>
    </sheetView>
  </sheetViews>
  <sheetFormatPr baseColWidth="10" defaultRowHeight="14" x14ac:dyDescent="0"/>
  <sheetData>
    <row r="1" spans="1:8">
      <c r="A1" t="s">
        <v>31</v>
      </c>
      <c r="B1" t="s">
        <v>34</v>
      </c>
      <c r="C1" t="s">
        <v>35</v>
      </c>
      <c r="D1" t="s">
        <v>127</v>
      </c>
      <c r="E1" t="s">
        <v>226</v>
      </c>
      <c r="F1" t="s">
        <v>225</v>
      </c>
      <c r="G1" t="s">
        <v>233</v>
      </c>
      <c r="H1" t="s">
        <v>234</v>
      </c>
    </row>
    <row r="2" spans="1:8">
      <c r="A2" t="s">
        <v>157</v>
      </c>
      <c r="B2">
        <v>53.05</v>
      </c>
      <c r="C2">
        <v>129.21166666666667</v>
      </c>
      <c r="D2" t="s">
        <v>66</v>
      </c>
      <c r="E2" t="s">
        <v>228</v>
      </c>
      <c r="F2" t="s">
        <v>229</v>
      </c>
      <c r="G2">
        <v>0</v>
      </c>
      <c r="H2">
        <v>1971</v>
      </c>
    </row>
    <row r="3" spans="1:8">
      <c r="A3" t="s">
        <v>145</v>
      </c>
      <c r="B3">
        <v>51.80833333333333</v>
      </c>
      <c r="C3">
        <v>128.25333333333333</v>
      </c>
      <c r="D3" t="s">
        <v>66</v>
      </c>
      <c r="E3" t="s">
        <v>228</v>
      </c>
      <c r="F3" t="s">
        <v>229</v>
      </c>
      <c r="G3">
        <v>0</v>
      </c>
      <c r="H3">
        <v>1971</v>
      </c>
    </row>
    <row r="4" spans="1:8">
      <c r="A4" t="s">
        <v>148</v>
      </c>
      <c r="B4">
        <v>51.868333333333332</v>
      </c>
      <c r="C4">
        <v>128.46</v>
      </c>
      <c r="D4" t="s">
        <v>103</v>
      </c>
      <c r="E4" t="s">
        <v>228</v>
      </c>
      <c r="F4" t="s">
        <v>229</v>
      </c>
      <c r="G4">
        <v>106</v>
      </c>
      <c r="H4">
        <v>1971</v>
      </c>
    </row>
    <row r="5" spans="1:8">
      <c r="A5" t="s">
        <v>151</v>
      </c>
      <c r="B5">
        <v>52.263333333333335</v>
      </c>
      <c r="C5">
        <v>128.72166666666666</v>
      </c>
      <c r="D5" t="s">
        <v>66</v>
      </c>
      <c r="E5" t="s">
        <v>228</v>
      </c>
      <c r="F5" t="s">
        <v>229</v>
      </c>
      <c r="G5">
        <v>196</v>
      </c>
      <c r="H5">
        <v>1971</v>
      </c>
    </row>
    <row r="6" spans="1:8">
      <c r="A6" t="s">
        <v>142</v>
      </c>
      <c r="B6">
        <v>51.363333333333337</v>
      </c>
      <c r="C6">
        <v>128.00166666666667</v>
      </c>
      <c r="D6" t="s">
        <v>66</v>
      </c>
      <c r="E6" t="s">
        <v>228</v>
      </c>
      <c r="F6" t="s">
        <v>229</v>
      </c>
      <c r="G6">
        <v>100</v>
      </c>
      <c r="H6">
        <v>1971</v>
      </c>
    </row>
    <row r="7" spans="1:8" ht="15">
      <c r="A7" t="s">
        <v>154</v>
      </c>
      <c r="B7">
        <v>52.463333333333331</v>
      </c>
      <c r="C7">
        <v>129.37166666666667</v>
      </c>
      <c r="D7" t="s">
        <v>66</v>
      </c>
      <c r="E7" t="s">
        <v>228</v>
      </c>
      <c r="F7" t="s">
        <v>229</v>
      </c>
      <c r="G7" s="44">
        <v>-88</v>
      </c>
      <c r="H7">
        <v>1971</v>
      </c>
    </row>
    <row r="8" spans="1:8">
      <c r="A8" t="s">
        <v>138</v>
      </c>
      <c r="B8">
        <v>51.28</v>
      </c>
      <c r="C8">
        <v>128.20333333333335</v>
      </c>
      <c r="D8" t="s">
        <v>103</v>
      </c>
      <c r="E8" t="s">
        <v>228</v>
      </c>
      <c r="F8" t="s">
        <v>229</v>
      </c>
      <c r="G8">
        <v>317</v>
      </c>
      <c r="H8">
        <v>1971</v>
      </c>
    </row>
    <row r="9" spans="1:8">
      <c r="A9" t="s">
        <v>26</v>
      </c>
      <c r="B9">
        <v>52.103333333333332</v>
      </c>
      <c r="C9">
        <v>131.24</v>
      </c>
      <c r="D9" t="s">
        <v>66</v>
      </c>
      <c r="E9" t="s">
        <v>231</v>
      </c>
      <c r="F9" t="s">
        <v>229</v>
      </c>
      <c r="G9" t="s">
        <v>30</v>
      </c>
      <c r="H9">
        <v>1971</v>
      </c>
    </row>
    <row r="10" spans="1:8">
      <c r="A10" t="s">
        <v>19</v>
      </c>
      <c r="B10">
        <v>51.911666666666669</v>
      </c>
      <c r="C10">
        <v>130.98166666666665</v>
      </c>
      <c r="D10" t="s">
        <v>103</v>
      </c>
      <c r="E10" t="s">
        <v>231</v>
      </c>
      <c r="F10" t="s">
        <v>229</v>
      </c>
      <c r="G10">
        <v>631</v>
      </c>
      <c r="H10">
        <v>1971</v>
      </c>
    </row>
    <row r="11" spans="1:8">
      <c r="A11" t="s">
        <v>23</v>
      </c>
      <c r="B11">
        <v>53.376666666666665</v>
      </c>
      <c r="C11">
        <v>132.72166666666666</v>
      </c>
      <c r="D11" t="s">
        <v>51</v>
      </c>
      <c r="E11" t="s">
        <v>231</v>
      </c>
      <c r="F11" t="s">
        <v>229</v>
      </c>
      <c r="G11">
        <v>0</v>
      </c>
      <c r="H11">
        <v>1971</v>
      </c>
    </row>
    <row r="12" spans="1:8">
      <c r="A12" t="s">
        <v>215</v>
      </c>
      <c r="B12">
        <v>52.213333333333331</v>
      </c>
      <c r="C12">
        <v>130.96</v>
      </c>
      <c r="D12" t="s">
        <v>103</v>
      </c>
      <c r="E12" t="s">
        <v>231</v>
      </c>
      <c r="F12" t="s">
        <v>229</v>
      </c>
      <c r="G12" t="s">
        <v>30</v>
      </c>
      <c r="H12">
        <v>1971</v>
      </c>
    </row>
    <row r="13" spans="1:8">
      <c r="A13" t="s">
        <v>207</v>
      </c>
      <c r="B13">
        <v>53.813333333333333</v>
      </c>
      <c r="C13">
        <v>133.13333333333333</v>
      </c>
      <c r="D13" t="s">
        <v>66</v>
      </c>
      <c r="E13" t="s">
        <v>231</v>
      </c>
      <c r="F13" t="s">
        <v>229</v>
      </c>
      <c r="G13">
        <v>408</v>
      </c>
      <c r="H13">
        <v>1971</v>
      </c>
    </row>
    <row r="14" spans="1:8">
      <c r="A14" t="s">
        <v>190</v>
      </c>
      <c r="B14">
        <v>52.336666666666666</v>
      </c>
      <c r="C14">
        <v>131.13166666666666</v>
      </c>
      <c r="D14" t="s">
        <v>66</v>
      </c>
      <c r="E14" t="s">
        <v>231</v>
      </c>
      <c r="F14" t="s">
        <v>229</v>
      </c>
      <c r="G14" t="s">
        <v>30</v>
      </c>
      <c r="H14">
        <v>1971</v>
      </c>
    </row>
    <row r="15" spans="1:8">
      <c r="A15" t="s">
        <v>25</v>
      </c>
      <c r="B15">
        <v>54.26</v>
      </c>
      <c r="C15">
        <v>133.01499999999999</v>
      </c>
      <c r="D15" t="s">
        <v>51</v>
      </c>
      <c r="E15" t="s">
        <v>231</v>
      </c>
      <c r="F15" t="s">
        <v>229</v>
      </c>
      <c r="G15">
        <v>6</v>
      </c>
      <c r="H15">
        <v>1971</v>
      </c>
    </row>
    <row r="16" spans="1:8">
      <c r="A16" t="s">
        <v>203</v>
      </c>
      <c r="B16">
        <v>53.204999999999998</v>
      </c>
      <c r="C16">
        <v>132.65166666666667</v>
      </c>
      <c r="D16" t="s">
        <v>66</v>
      </c>
      <c r="E16" t="s">
        <v>231</v>
      </c>
      <c r="F16" t="s">
        <v>229</v>
      </c>
      <c r="G16">
        <v>0</v>
      </c>
      <c r="H16">
        <v>1971</v>
      </c>
    </row>
    <row r="17" spans="1:8">
      <c r="A17" t="s">
        <v>21</v>
      </c>
      <c r="B17">
        <v>52.973333333333336</v>
      </c>
      <c r="C17">
        <v>132.36000000000001</v>
      </c>
      <c r="D17" t="s">
        <v>78</v>
      </c>
      <c r="E17" t="s">
        <v>231</v>
      </c>
      <c r="F17" t="s">
        <v>229</v>
      </c>
      <c r="G17">
        <v>0</v>
      </c>
      <c r="H17">
        <v>1971</v>
      </c>
    </row>
    <row r="18" spans="1:8">
      <c r="A18" t="s">
        <v>14</v>
      </c>
      <c r="B18">
        <v>52.87166666666667</v>
      </c>
      <c r="C18">
        <v>131.48500000000001</v>
      </c>
      <c r="D18" t="s">
        <v>66</v>
      </c>
      <c r="E18" t="s">
        <v>231</v>
      </c>
      <c r="F18" t="s">
        <v>229</v>
      </c>
      <c r="G18">
        <v>207</v>
      </c>
      <c r="H18">
        <v>1971</v>
      </c>
    </row>
    <row r="19" spans="1:8">
      <c r="A19" t="s">
        <v>13</v>
      </c>
      <c r="B19">
        <v>54.211666666666666</v>
      </c>
      <c r="C19">
        <v>131.61333333333334</v>
      </c>
      <c r="D19" t="s">
        <v>66</v>
      </c>
      <c r="E19" t="s">
        <v>231</v>
      </c>
      <c r="F19" t="s">
        <v>229</v>
      </c>
      <c r="G19" t="s">
        <v>30</v>
      </c>
      <c r="H19">
        <v>1971</v>
      </c>
    </row>
    <row r="20" spans="1:8">
      <c r="A20" t="s">
        <v>20</v>
      </c>
      <c r="B20">
        <v>52.703333333333333</v>
      </c>
      <c r="C20">
        <v>132.07499999999999</v>
      </c>
      <c r="D20" t="s">
        <v>66</v>
      </c>
      <c r="E20" t="s">
        <v>231</v>
      </c>
      <c r="F20" t="s">
        <v>229</v>
      </c>
      <c r="G20">
        <v>76</v>
      </c>
      <c r="H20">
        <v>1971</v>
      </c>
    </row>
    <row r="21" spans="1:8">
      <c r="A21" t="s">
        <v>187</v>
      </c>
      <c r="B21">
        <v>52.953333333333333</v>
      </c>
      <c r="C21">
        <v>131.55166666666668</v>
      </c>
      <c r="D21" t="s">
        <v>78</v>
      </c>
      <c r="E21" t="s">
        <v>231</v>
      </c>
      <c r="F21" t="s">
        <v>229</v>
      </c>
      <c r="G21">
        <v>0</v>
      </c>
      <c r="H21">
        <v>1971</v>
      </c>
    </row>
    <row r="22" spans="1:8">
      <c r="A22" t="s">
        <v>193</v>
      </c>
      <c r="B22">
        <v>52.543333333333337</v>
      </c>
      <c r="C22">
        <v>131.35666666666665</v>
      </c>
      <c r="D22" t="s">
        <v>66</v>
      </c>
      <c r="E22" t="s">
        <v>231</v>
      </c>
      <c r="F22" t="s">
        <v>229</v>
      </c>
      <c r="G22">
        <v>0</v>
      </c>
      <c r="H22">
        <v>1971</v>
      </c>
    </row>
    <row r="23" spans="1:8">
      <c r="A23" t="s">
        <v>173</v>
      </c>
      <c r="B23">
        <v>53.466666666666669</v>
      </c>
      <c r="C23">
        <v>130.61333333333334</v>
      </c>
      <c r="D23" t="s">
        <v>103</v>
      </c>
      <c r="E23" t="s">
        <v>230</v>
      </c>
      <c r="F23" t="s">
        <v>229</v>
      </c>
      <c r="G23" t="s">
        <v>30</v>
      </c>
      <c r="H23">
        <v>1971</v>
      </c>
    </row>
    <row r="24" spans="1:8">
      <c r="A24" t="s">
        <v>180</v>
      </c>
      <c r="B24">
        <v>54.44166666666667</v>
      </c>
      <c r="C24">
        <v>130.98666666666668</v>
      </c>
      <c r="D24" t="s">
        <v>66</v>
      </c>
      <c r="E24" t="s">
        <v>230</v>
      </c>
      <c r="F24" t="s">
        <v>229</v>
      </c>
      <c r="G24">
        <v>631</v>
      </c>
      <c r="H24">
        <v>1971</v>
      </c>
    </row>
    <row r="25" spans="1:8">
      <c r="A25" t="s">
        <v>163</v>
      </c>
      <c r="B25">
        <v>52.736666666666665</v>
      </c>
      <c r="C25">
        <v>129.53</v>
      </c>
      <c r="D25" t="s">
        <v>66</v>
      </c>
      <c r="E25" t="s">
        <v>230</v>
      </c>
      <c r="F25" t="s">
        <v>229</v>
      </c>
      <c r="G25" t="s">
        <v>30</v>
      </c>
      <c r="H25">
        <v>1971</v>
      </c>
    </row>
    <row r="26" spans="1:8">
      <c r="A26" t="s">
        <v>166</v>
      </c>
      <c r="B26">
        <v>53.145000000000003</v>
      </c>
      <c r="C26">
        <v>130.04166666666666</v>
      </c>
      <c r="D26" t="s">
        <v>66</v>
      </c>
      <c r="E26" t="s">
        <v>230</v>
      </c>
      <c r="F26" t="s">
        <v>229</v>
      </c>
      <c r="G26">
        <v>207</v>
      </c>
      <c r="H26">
        <v>1971</v>
      </c>
    </row>
    <row r="27" spans="1:8">
      <c r="A27" t="s">
        <v>170</v>
      </c>
      <c r="B27">
        <v>53.255000000000003</v>
      </c>
      <c r="C27">
        <v>130.34166666666667</v>
      </c>
      <c r="D27" t="s">
        <v>103</v>
      </c>
      <c r="E27" t="s">
        <v>230</v>
      </c>
      <c r="F27" t="s">
        <v>229</v>
      </c>
      <c r="G27">
        <v>0</v>
      </c>
      <c r="H27">
        <v>1971</v>
      </c>
    </row>
    <row r="28" spans="1:8">
      <c r="A28" t="s">
        <v>176</v>
      </c>
      <c r="B28">
        <v>54.064999999999998</v>
      </c>
      <c r="C28">
        <v>130.85166666666666</v>
      </c>
      <c r="D28" t="s">
        <v>66</v>
      </c>
      <c r="E28" t="s">
        <v>230</v>
      </c>
      <c r="F28" t="s">
        <v>229</v>
      </c>
      <c r="G28">
        <v>0</v>
      </c>
      <c r="H28">
        <v>1971</v>
      </c>
    </row>
    <row r="29" spans="1:8" ht="15">
      <c r="A29" t="s">
        <v>115</v>
      </c>
      <c r="B29">
        <v>50.94166666666667</v>
      </c>
      <c r="C29">
        <v>127.92</v>
      </c>
      <c r="D29" t="s">
        <v>51</v>
      </c>
      <c r="E29" t="s">
        <v>223</v>
      </c>
      <c r="F29" t="s">
        <v>227</v>
      </c>
      <c r="G29" s="44">
        <v>-3</v>
      </c>
      <c r="H29">
        <v>1971</v>
      </c>
    </row>
    <row r="30" spans="1:8">
      <c r="A30" t="s">
        <v>118</v>
      </c>
      <c r="B30">
        <v>50.94166666666667</v>
      </c>
      <c r="C30">
        <v>127.65666666666667</v>
      </c>
      <c r="D30" t="s">
        <v>51</v>
      </c>
      <c r="E30" t="s">
        <v>223</v>
      </c>
      <c r="F30" t="s">
        <v>227</v>
      </c>
      <c r="G30">
        <v>0</v>
      </c>
      <c r="H30">
        <v>1971</v>
      </c>
    </row>
    <row r="31" spans="1:8">
      <c r="A31" t="s">
        <v>123</v>
      </c>
      <c r="B31">
        <v>50.74666666666667</v>
      </c>
      <c r="C31">
        <v>126.72166666666666</v>
      </c>
      <c r="D31" t="s">
        <v>66</v>
      </c>
      <c r="E31" t="s">
        <v>223</v>
      </c>
      <c r="F31" t="s">
        <v>227</v>
      </c>
      <c r="G31">
        <v>0</v>
      </c>
      <c r="H31">
        <v>1971</v>
      </c>
    </row>
    <row r="32" spans="1:8">
      <c r="A32" t="s">
        <v>120</v>
      </c>
      <c r="B32">
        <v>50.91</v>
      </c>
      <c r="C32">
        <v>127.44166666666666</v>
      </c>
      <c r="D32" t="s">
        <v>51</v>
      </c>
      <c r="E32" t="s">
        <v>223</v>
      </c>
      <c r="F32" t="s">
        <v>227</v>
      </c>
      <c r="G32">
        <v>0</v>
      </c>
      <c r="H32">
        <v>1971</v>
      </c>
    </row>
    <row r="33" spans="1:8">
      <c r="A33" t="s">
        <v>104</v>
      </c>
      <c r="B33">
        <v>50.791666666666664</v>
      </c>
      <c r="C33">
        <v>128.77000000000001</v>
      </c>
      <c r="D33" t="s">
        <v>66</v>
      </c>
      <c r="E33" t="s">
        <v>222</v>
      </c>
      <c r="F33" t="s">
        <v>227</v>
      </c>
      <c r="G33">
        <v>71</v>
      </c>
      <c r="H33">
        <v>1971</v>
      </c>
    </row>
    <row r="34" spans="1:8">
      <c r="A34" t="s">
        <v>100</v>
      </c>
      <c r="B34">
        <v>50.801666666666669</v>
      </c>
      <c r="C34">
        <v>128.78</v>
      </c>
      <c r="D34" t="s">
        <v>103</v>
      </c>
      <c r="E34" t="s">
        <v>222</v>
      </c>
      <c r="F34" t="s">
        <v>227</v>
      </c>
      <c r="G34">
        <v>418</v>
      </c>
      <c r="H34">
        <v>1971</v>
      </c>
    </row>
    <row r="35" spans="1:8">
      <c r="A35" t="s">
        <v>107</v>
      </c>
      <c r="B35">
        <v>50.82</v>
      </c>
      <c r="C35">
        <v>128.90333333333334</v>
      </c>
      <c r="D35" t="s">
        <v>103</v>
      </c>
      <c r="E35" t="s">
        <v>222</v>
      </c>
      <c r="F35" t="s">
        <v>227</v>
      </c>
      <c r="G35">
        <v>628</v>
      </c>
      <c r="H35">
        <v>1971</v>
      </c>
    </row>
    <row r="36" spans="1:8">
      <c r="A36" t="s">
        <v>110</v>
      </c>
      <c r="B36">
        <v>50.87166666666667</v>
      </c>
      <c r="C36">
        <v>129.07666666666665</v>
      </c>
      <c r="D36" t="s">
        <v>103</v>
      </c>
      <c r="E36" t="s">
        <v>222</v>
      </c>
      <c r="F36" t="s">
        <v>227</v>
      </c>
      <c r="G36">
        <v>550</v>
      </c>
      <c r="H36">
        <v>1971</v>
      </c>
    </row>
    <row r="37" spans="1:8" ht="15">
      <c r="A37" t="s">
        <v>82</v>
      </c>
      <c r="B37">
        <v>50.011666666666663</v>
      </c>
      <c r="C37">
        <v>127.52666666666667</v>
      </c>
      <c r="D37" t="s">
        <v>66</v>
      </c>
      <c r="E37" t="s">
        <v>128</v>
      </c>
      <c r="F37" t="s">
        <v>227</v>
      </c>
      <c r="G37" s="44">
        <v>-145</v>
      </c>
      <c r="H37">
        <v>1971</v>
      </c>
    </row>
    <row r="38" spans="1:8">
      <c r="A38" t="s">
        <v>94</v>
      </c>
      <c r="B38">
        <v>50.784999999999997</v>
      </c>
      <c r="C38">
        <v>128.41999999999999</v>
      </c>
      <c r="D38" t="s">
        <v>78</v>
      </c>
      <c r="E38" t="s">
        <v>128</v>
      </c>
      <c r="F38" t="s">
        <v>227</v>
      </c>
      <c r="G38">
        <v>0</v>
      </c>
      <c r="H38">
        <v>1971</v>
      </c>
    </row>
    <row r="39" spans="1:8">
      <c r="A39" t="s">
        <v>46</v>
      </c>
      <c r="B39">
        <v>48.615000000000002</v>
      </c>
      <c r="C39">
        <v>124.76166666666667</v>
      </c>
      <c r="D39" t="s">
        <v>51</v>
      </c>
      <c r="E39" t="s">
        <v>128</v>
      </c>
      <c r="F39" t="s">
        <v>227</v>
      </c>
      <c r="G39">
        <v>0</v>
      </c>
      <c r="H39">
        <v>1971</v>
      </c>
    </row>
    <row r="40" spans="1:8">
      <c r="A40" t="s">
        <v>67</v>
      </c>
      <c r="B40">
        <v>49.171666666666667</v>
      </c>
      <c r="C40">
        <v>125.09166666666667</v>
      </c>
      <c r="D40" t="s">
        <v>66</v>
      </c>
      <c r="E40" t="s">
        <v>128</v>
      </c>
      <c r="F40" t="s">
        <v>227</v>
      </c>
      <c r="G40">
        <v>0</v>
      </c>
      <c r="H40">
        <v>1971</v>
      </c>
    </row>
    <row r="41" spans="1:8">
      <c r="A41" t="s">
        <v>79</v>
      </c>
      <c r="B41">
        <v>49.743333333333332</v>
      </c>
      <c r="C41">
        <v>126.97833333333334</v>
      </c>
      <c r="D41" t="s">
        <v>51</v>
      </c>
      <c r="E41" t="s">
        <v>128</v>
      </c>
      <c r="F41" t="s">
        <v>227</v>
      </c>
      <c r="G41">
        <v>0</v>
      </c>
      <c r="H41">
        <v>1971</v>
      </c>
    </row>
    <row r="42" spans="1:8">
      <c r="A42" t="s">
        <v>62</v>
      </c>
      <c r="B42">
        <v>49.038333333333334</v>
      </c>
      <c r="C42">
        <v>125.71833333333333</v>
      </c>
      <c r="D42" t="s">
        <v>66</v>
      </c>
      <c r="E42" t="s">
        <v>128</v>
      </c>
      <c r="F42" t="s">
        <v>227</v>
      </c>
      <c r="G42">
        <v>394</v>
      </c>
      <c r="H42">
        <v>1971</v>
      </c>
    </row>
    <row r="43" spans="1:8">
      <c r="A43" t="s">
        <v>59</v>
      </c>
      <c r="B43">
        <v>48.875</v>
      </c>
      <c r="C43">
        <v>125.47833333333334</v>
      </c>
      <c r="D43" t="s">
        <v>51</v>
      </c>
      <c r="E43" t="s">
        <v>128</v>
      </c>
      <c r="F43" t="s">
        <v>227</v>
      </c>
      <c r="G43">
        <v>0</v>
      </c>
      <c r="H43">
        <v>1971</v>
      </c>
    </row>
    <row r="44" spans="1:8">
      <c r="A44" t="s">
        <v>87</v>
      </c>
      <c r="B44">
        <v>50.101666666666667</v>
      </c>
      <c r="C44">
        <v>127.64666666666666</v>
      </c>
      <c r="D44" t="s">
        <v>90</v>
      </c>
      <c r="E44" t="s">
        <v>128</v>
      </c>
      <c r="F44" t="s">
        <v>227</v>
      </c>
      <c r="G44">
        <v>331</v>
      </c>
      <c r="H44">
        <v>1971</v>
      </c>
    </row>
    <row r="45" spans="1:8">
      <c r="A45" t="s">
        <v>52</v>
      </c>
      <c r="B45">
        <v>48.723333333333336</v>
      </c>
      <c r="C45">
        <v>125.105</v>
      </c>
      <c r="D45" t="s">
        <v>51</v>
      </c>
      <c r="E45" t="s">
        <v>128</v>
      </c>
      <c r="F45" t="s">
        <v>227</v>
      </c>
      <c r="G45">
        <v>0</v>
      </c>
      <c r="H45">
        <v>1971</v>
      </c>
    </row>
    <row r="46" spans="1:8">
      <c r="A46" t="s">
        <v>71</v>
      </c>
      <c r="B46">
        <v>49.403333333333336</v>
      </c>
      <c r="C46">
        <v>126.58333333333333</v>
      </c>
      <c r="D46" t="s">
        <v>66</v>
      </c>
      <c r="E46" t="s">
        <v>128</v>
      </c>
      <c r="F46" t="s">
        <v>227</v>
      </c>
      <c r="G46">
        <v>0</v>
      </c>
      <c r="H46">
        <v>1971</v>
      </c>
    </row>
    <row r="47" spans="1:8">
      <c r="A47" t="s">
        <v>75</v>
      </c>
      <c r="B47">
        <v>49.30833333333333</v>
      </c>
      <c r="C47">
        <v>126.22833333333334</v>
      </c>
      <c r="D47" t="s">
        <v>78</v>
      </c>
      <c r="E47" t="s">
        <v>128</v>
      </c>
      <c r="F47" t="s">
        <v>227</v>
      </c>
      <c r="G47">
        <v>0</v>
      </c>
      <c r="H47">
        <v>1971</v>
      </c>
    </row>
    <row r="48" spans="1:8">
      <c r="A48" t="s">
        <v>91</v>
      </c>
      <c r="B48">
        <v>50.111666666666665</v>
      </c>
      <c r="C48">
        <v>127.94</v>
      </c>
      <c r="D48" t="s">
        <v>51</v>
      </c>
      <c r="E48" t="s">
        <v>128</v>
      </c>
      <c r="F48" t="s">
        <v>227</v>
      </c>
      <c r="G48">
        <v>0</v>
      </c>
      <c r="H48">
        <v>1971</v>
      </c>
    </row>
    <row r="49" spans="1:8">
      <c r="A49" t="s">
        <v>56</v>
      </c>
      <c r="B49">
        <v>48.86333333333333</v>
      </c>
      <c r="C49">
        <v>125.35833333333333</v>
      </c>
      <c r="D49" t="s">
        <v>51</v>
      </c>
      <c r="E49" t="s">
        <v>128</v>
      </c>
      <c r="F49" t="s">
        <v>227</v>
      </c>
      <c r="G49">
        <v>0</v>
      </c>
      <c r="H49">
        <v>1971</v>
      </c>
    </row>
    <row r="50" spans="1:8">
      <c r="A50" t="s">
        <v>157</v>
      </c>
      <c r="B50">
        <v>53.05</v>
      </c>
      <c r="C50">
        <v>129.21166666666667</v>
      </c>
      <c r="D50" t="s">
        <v>66</v>
      </c>
      <c r="E50" t="s">
        <v>228</v>
      </c>
      <c r="F50" t="s">
        <v>229</v>
      </c>
      <c r="G50">
        <v>0</v>
      </c>
      <c r="H50">
        <v>1973</v>
      </c>
    </row>
    <row r="51" spans="1:8">
      <c r="A51" t="s">
        <v>145</v>
      </c>
      <c r="B51">
        <v>51.80833333333333</v>
      </c>
      <c r="C51">
        <v>128.25333333333333</v>
      </c>
      <c r="D51" t="s">
        <v>66</v>
      </c>
      <c r="E51" t="s">
        <v>228</v>
      </c>
      <c r="F51" t="s">
        <v>229</v>
      </c>
      <c r="G51">
        <v>0</v>
      </c>
      <c r="H51">
        <v>1973</v>
      </c>
    </row>
    <row r="52" spans="1:8" ht="15">
      <c r="A52" t="s">
        <v>148</v>
      </c>
      <c r="B52">
        <v>51.868333333333332</v>
      </c>
      <c r="C52">
        <v>128.46</v>
      </c>
      <c r="D52" t="s">
        <v>103</v>
      </c>
      <c r="E52" t="s">
        <v>228</v>
      </c>
      <c r="F52" t="s">
        <v>229</v>
      </c>
      <c r="G52" s="44">
        <v>-93</v>
      </c>
      <c r="H52">
        <v>1973</v>
      </c>
    </row>
    <row r="53" spans="1:8" ht="15">
      <c r="A53" t="s">
        <v>151</v>
      </c>
      <c r="B53">
        <v>52.263333333333335</v>
      </c>
      <c r="C53">
        <v>128.72166666666666</v>
      </c>
      <c r="D53" t="s">
        <v>66</v>
      </c>
      <c r="E53" t="s">
        <v>228</v>
      </c>
      <c r="F53" t="s">
        <v>229</v>
      </c>
      <c r="G53" s="44">
        <v>-80</v>
      </c>
      <c r="H53">
        <v>1973</v>
      </c>
    </row>
    <row r="54" spans="1:8">
      <c r="A54" t="s">
        <v>142</v>
      </c>
      <c r="B54">
        <v>51.363333333333337</v>
      </c>
      <c r="C54">
        <v>128.00166666666667</v>
      </c>
      <c r="D54" t="s">
        <v>66</v>
      </c>
      <c r="E54" t="s">
        <v>228</v>
      </c>
      <c r="F54" t="s">
        <v>229</v>
      </c>
      <c r="G54">
        <v>81</v>
      </c>
      <c r="H54">
        <v>1973</v>
      </c>
    </row>
    <row r="55" spans="1:8" ht="15">
      <c r="A55" t="s">
        <v>154</v>
      </c>
      <c r="B55">
        <v>52.463333333333331</v>
      </c>
      <c r="C55">
        <v>129.37166666666667</v>
      </c>
      <c r="D55" t="s">
        <v>66</v>
      </c>
      <c r="E55" t="s">
        <v>228</v>
      </c>
      <c r="F55" t="s">
        <v>229</v>
      </c>
      <c r="G55" s="44">
        <v>-88</v>
      </c>
      <c r="H55">
        <v>1973</v>
      </c>
    </row>
    <row r="56" spans="1:8">
      <c r="A56" t="s">
        <v>138</v>
      </c>
      <c r="B56">
        <v>51.28</v>
      </c>
      <c r="C56">
        <v>128.20333333333335</v>
      </c>
      <c r="D56" t="s">
        <v>103</v>
      </c>
      <c r="E56" t="s">
        <v>228</v>
      </c>
      <c r="F56" t="s">
        <v>229</v>
      </c>
      <c r="G56">
        <v>205</v>
      </c>
      <c r="H56">
        <v>1973</v>
      </c>
    </row>
    <row r="57" spans="1:8">
      <c r="A57" t="s">
        <v>26</v>
      </c>
      <c r="B57">
        <v>52.103333333333332</v>
      </c>
      <c r="C57">
        <v>131.24</v>
      </c>
      <c r="D57" t="s">
        <v>66</v>
      </c>
      <c r="E57" t="s">
        <v>231</v>
      </c>
      <c r="F57" t="s">
        <v>229</v>
      </c>
      <c r="G57" t="s">
        <v>30</v>
      </c>
      <c r="H57">
        <v>1973</v>
      </c>
    </row>
    <row r="58" spans="1:8">
      <c r="A58" t="s">
        <v>19</v>
      </c>
      <c r="B58">
        <v>51.911666666666669</v>
      </c>
      <c r="C58">
        <v>130.98166666666665</v>
      </c>
      <c r="D58" t="s">
        <v>103</v>
      </c>
      <c r="E58" t="s">
        <v>231</v>
      </c>
      <c r="F58" t="s">
        <v>229</v>
      </c>
      <c r="G58">
        <v>549</v>
      </c>
      <c r="H58">
        <v>1973</v>
      </c>
    </row>
    <row r="59" spans="1:8">
      <c r="A59" t="s">
        <v>23</v>
      </c>
      <c r="B59">
        <v>53.376666666666665</v>
      </c>
      <c r="C59">
        <v>132.72166666666666</v>
      </c>
      <c r="D59" t="s">
        <v>51</v>
      </c>
      <c r="E59" t="s">
        <v>231</v>
      </c>
      <c r="F59" t="s">
        <v>229</v>
      </c>
      <c r="G59">
        <v>0</v>
      </c>
      <c r="H59">
        <v>1973</v>
      </c>
    </row>
    <row r="60" spans="1:8">
      <c r="A60" t="s">
        <v>215</v>
      </c>
      <c r="B60">
        <v>52.213333333333331</v>
      </c>
      <c r="C60">
        <v>130.96</v>
      </c>
      <c r="D60" t="s">
        <v>103</v>
      </c>
      <c r="E60" t="s">
        <v>231</v>
      </c>
      <c r="F60" t="s">
        <v>229</v>
      </c>
      <c r="G60" t="s">
        <v>30</v>
      </c>
      <c r="H60">
        <v>1973</v>
      </c>
    </row>
    <row r="61" spans="1:8" ht="15">
      <c r="A61" t="s">
        <v>207</v>
      </c>
      <c r="B61">
        <v>53.813333333333333</v>
      </c>
      <c r="C61">
        <v>133.13333333333333</v>
      </c>
      <c r="D61" t="s">
        <v>66</v>
      </c>
      <c r="E61" t="s">
        <v>231</v>
      </c>
      <c r="F61" t="s">
        <v>229</v>
      </c>
      <c r="G61" s="44">
        <v>-391</v>
      </c>
      <c r="H61">
        <v>1973</v>
      </c>
    </row>
    <row r="62" spans="1:8">
      <c r="A62" t="s">
        <v>190</v>
      </c>
      <c r="B62">
        <v>52.336666666666666</v>
      </c>
      <c r="C62">
        <v>131.13166666666666</v>
      </c>
      <c r="D62" t="s">
        <v>66</v>
      </c>
      <c r="E62" t="s">
        <v>231</v>
      </c>
      <c r="F62" t="s">
        <v>229</v>
      </c>
      <c r="G62" t="s">
        <v>30</v>
      </c>
      <c r="H62">
        <v>1973</v>
      </c>
    </row>
    <row r="63" spans="1:8" ht="15">
      <c r="A63" t="s">
        <v>25</v>
      </c>
      <c r="B63">
        <v>54.26</v>
      </c>
      <c r="C63">
        <v>133.01499999999999</v>
      </c>
      <c r="D63" t="s">
        <v>51</v>
      </c>
      <c r="E63" t="s">
        <v>231</v>
      </c>
      <c r="F63" t="s">
        <v>229</v>
      </c>
      <c r="G63" s="44">
        <v>-3</v>
      </c>
      <c r="H63">
        <v>1973</v>
      </c>
    </row>
    <row r="64" spans="1:8">
      <c r="A64" t="s">
        <v>203</v>
      </c>
      <c r="B64">
        <v>53.204999999999998</v>
      </c>
      <c r="C64">
        <v>132.65166666666667</v>
      </c>
      <c r="D64" t="s">
        <v>66</v>
      </c>
      <c r="E64" t="s">
        <v>231</v>
      </c>
      <c r="F64" t="s">
        <v>229</v>
      </c>
      <c r="G64">
        <v>0</v>
      </c>
      <c r="H64">
        <v>1973</v>
      </c>
    </row>
    <row r="65" spans="1:8">
      <c r="A65" t="s">
        <v>21</v>
      </c>
      <c r="B65">
        <v>52.973333333333336</v>
      </c>
      <c r="C65">
        <v>132.36000000000001</v>
      </c>
      <c r="D65" t="s">
        <v>78</v>
      </c>
      <c r="E65" t="s">
        <v>231</v>
      </c>
      <c r="F65" t="s">
        <v>229</v>
      </c>
      <c r="G65">
        <v>0</v>
      </c>
      <c r="H65">
        <v>1973</v>
      </c>
    </row>
    <row r="66" spans="1:8">
      <c r="A66" t="s">
        <v>14</v>
      </c>
      <c r="B66">
        <v>52.87166666666667</v>
      </c>
      <c r="C66">
        <v>131.48500000000001</v>
      </c>
      <c r="D66" t="s">
        <v>66</v>
      </c>
      <c r="E66" t="s">
        <v>231</v>
      </c>
      <c r="F66" t="s">
        <v>229</v>
      </c>
      <c r="G66">
        <v>105</v>
      </c>
      <c r="H66">
        <v>1973</v>
      </c>
    </row>
    <row r="67" spans="1:8">
      <c r="A67" t="s">
        <v>13</v>
      </c>
      <c r="B67">
        <v>54.211666666666666</v>
      </c>
      <c r="C67">
        <v>131.61333333333334</v>
      </c>
      <c r="D67" t="s">
        <v>66</v>
      </c>
      <c r="E67" t="s">
        <v>231</v>
      </c>
      <c r="F67" t="s">
        <v>229</v>
      </c>
      <c r="G67" t="s">
        <v>30</v>
      </c>
      <c r="H67">
        <v>1973</v>
      </c>
    </row>
    <row r="68" spans="1:8">
      <c r="A68" t="s">
        <v>20</v>
      </c>
      <c r="B68">
        <v>52.703333333333333</v>
      </c>
      <c r="C68">
        <v>132.07499999999999</v>
      </c>
      <c r="D68" t="s">
        <v>66</v>
      </c>
      <c r="E68" t="s">
        <v>231</v>
      </c>
      <c r="F68" t="s">
        <v>229</v>
      </c>
      <c r="G68">
        <v>375</v>
      </c>
      <c r="H68">
        <v>1973</v>
      </c>
    </row>
    <row r="69" spans="1:8">
      <c r="A69" t="s">
        <v>187</v>
      </c>
      <c r="B69">
        <v>52.953333333333333</v>
      </c>
      <c r="C69">
        <v>131.55166666666668</v>
      </c>
      <c r="D69" t="s">
        <v>78</v>
      </c>
      <c r="E69" t="s">
        <v>231</v>
      </c>
      <c r="F69" t="s">
        <v>229</v>
      </c>
      <c r="G69">
        <v>0</v>
      </c>
      <c r="H69">
        <v>1973</v>
      </c>
    </row>
    <row r="70" spans="1:8">
      <c r="A70" t="s">
        <v>193</v>
      </c>
      <c r="B70">
        <v>52.543333333333337</v>
      </c>
      <c r="C70">
        <v>131.35666666666665</v>
      </c>
      <c r="D70" t="s">
        <v>66</v>
      </c>
      <c r="E70" t="s">
        <v>231</v>
      </c>
      <c r="F70" t="s">
        <v>229</v>
      </c>
      <c r="G70">
        <v>0</v>
      </c>
      <c r="H70">
        <v>1973</v>
      </c>
    </row>
    <row r="71" spans="1:8">
      <c r="A71" t="s">
        <v>173</v>
      </c>
      <c r="B71">
        <v>53.466666666666669</v>
      </c>
      <c r="C71">
        <v>130.61333333333334</v>
      </c>
      <c r="D71" t="s">
        <v>103</v>
      </c>
      <c r="E71" t="s">
        <v>230</v>
      </c>
      <c r="F71" t="s">
        <v>229</v>
      </c>
      <c r="G71" t="s">
        <v>30</v>
      </c>
      <c r="H71">
        <v>1973</v>
      </c>
    </row>
    <row r="72" spans="1:8">
      <c r="A72" t="s">
        <v>180</v>
      </c>
      <c r="B72">
        <v>54.44166666666667</v>
      </c>
      <c r="C72">
        <v>130.98666666666668</v>
      </c>
      <c r="D72" t="s">
        <v>66</v>
      </c>
      <c r="E72" t="s">
        <v>230</v>
      </c>
      <c r="F72" t="s">
        <v>229</v>
      </c>
      <c r="G72">
        <v>549</v>
      </c>
      <c r="H72">
        <v>1973</v>
      </c>
    </row>
    <row r="73" spans="1:8">
      <c r="A73" t="s">
        <v>163</v>
      </c>
      <c r="B73">
        <v>52.736666666666665</v>
      </c>
      <c r="C73">
        <v>129.53</v>
      </c>
      <c r="D73" t="s">
        <v>66</v>
      </c>
      <c r="E73" t="s">
        <v>230</v>
      </c>
      <c r="F73" t="s">
        <v>229</v>
      </c>
      <c r="G73" t="s">
        <v>30</v>
      </c>
      <c r="H73">
        <v>1973</v>
      </c>
    </row>
    <row r="74" spans="1:8">
      <c r="A74" t="s">
        <v>166</v>
      </c>
      <c r="B74">
        <v>53.145000000000003</v>
      </c>
      <c r="C74">
        <v>130.04166666666666</v>
      </c>
      <c r="D74" t="s">
        <v>66</v>
      </c>
      <c r="E74" t="s">
        <v>230</v>
      </c>
      <c r="F74" t="s">
        <v>229</v>
      </c>
      <c r="G74">
        <v>105</v>
      </c>
      <c r="H74">
        <v>1973</v>
      </c>
    </row>
    <row r="75" spans="1:8">
      <c r="A75" t="s">
        <v>170</v>
      </c>
      <c r="B75">
        <v>53.255000000000003</v>
      </c>
      <c r="C75">
        <v>130.34166666666667</v>
      </c>
      <c r="D75" t="s">
        <v>103</v>
      </c>
      <c r="E75" t="s">
        <v>230</v>
      </c>
      <c r="F75" t="s">
        <v>229</v>
      </c>
      <c r="G75">
        <v>0</v>
      </c>
      <c r="H75">
        <v>1973</v>
      </c>
    </row>
    <row r="76" spans="1:8">
      <c r="A76" t="s">
        <v>176</v>
      </c>
      <c r="B76">
        <v>54.064999999999998</v>
      </c>
      <c r="C76">
        <v>130.85166666666666</v>
      </c>
      <c r="D76" t="s">
        <v>66</v>
      </c>
      <c r="E76" t="s">
        <v>230</v>
      </c>
      <c r="F76" t="s">
        <v>229</v>
      </c>
      <c r="G76">
        <v>0</v>
      </c>
      <c r="H76">
        <v>1973</v>
      </c>
    </row>
    <row r="77" spans="1:8" ht="15">
      <c r="A77" t="s">
        <v>115</v>
      </c>
      <c r="B77">
        <v>50.94166666666667</v>
      </c>
      <c r="C77">
        <v>127.92</v>
      </c>
      <c r="D77" t="s">
        <v>51</v>
      </c>
      <c r="E77" t="s">
        <v>223</v>
      </c>
      <c r="F77" t="s">
        <v>227</v>
      </c>
      <c r="G77" s="44">
        <v>-3</v>
      </c>
      <c r="H77">
        <v>1973</v>
      </c>
    </row>
    <row r="78" spans="1:8">
      <c r="A78" t="s">
        <v>118</v>
      </c>
      <c r="B78">
        <v>50.94166666666667</v>
      </c>
      <c r="C78">
        <v>127.65666666666667</v>
      </c>
      <c r="D78" t="s">
        <v>51</v>
      </c>
      <c r="E78" t="s">
        <v>223</v>
      </c>
      <c r="F78" t="s">
        <v>227</v>
      </c>
      <c r="G78">
        <v>0</v>
      </c>
      <c r="H78">
        <v>1973</v>
      </c>
    </row>
    <row r="79" spans="1:8">
      <c r="A79" t="s">
        <v>123</v>
      </c>
      <c r="B79">
        <v>50.74666666666667</v>
      </c>
      <c r="C79">
        <v>126.72166666666666</v>
      </c>
      <c r="D79" t="s">
        <v>66</v>
      </c>
      <c r="E79" t="s">
        <v>223</v>
      </c>
      <c r="F79" t="s">
        <v>227</v>
      </c>
      <c r="G79">
        <v>0</v>
      </c>
      <c r="H79">
        <v>1973</v>
      </c>
    </row>
    <row r="80" spans="1:8">
      <c r="A80" t="s">
        <v>120</v>
      </c>
      <c r="B80">
        <v>50.91</v>
      </c>
      <c r="C80">
        <v>127.44166666666666</v>
      </c>
      <c r="D80" t="s">
        <v>51</v>
      </c>
      <c r="E80" t="s">
        <v>223</v>
      </c>
      <c r="F80" t="s">
        <v>227</v>
      </c>
      <c r="G80">
        <v>0</v>
      </c>
      <c r="H80">
        <v>1973</v>
      </c>
    </row>
    <row r="81" spans="1:8">
      <c r="A81" t="s">
        <v>104</v>
      </c>
      <c r="B81">
        <v>50.791666666666664</v>
      </c>
      <c r="C81">
        <v>128.77000000000001</v>
      </c>
      <c r="D81" t="s">
        <v>66</v>
      </c>
      <c r="E81" t="s">
        <v>222</v>
      </c>
      <c r="F81" t="s">
        <v>227</v>
      </c>
      <c r="G81">
        <v>6</v>
      </c>
      <c r="H81">
        <v>1973</v>
      </c>
    </row>
    <row r="82" spans="1:8">
      <c r="A82" t="s">
        <v>100</v>
      </c>
      <c r="B82">
        <v>50.801666666666669</v>
      </c>
      <c r="C82">
        <v>128.78</v>
      </c>
      <c r="D82" t="s">
        <v>103</v>
      </c>
      <c r="E82" t="s">
        <v>222</v>
      </c>
      <c r="F82" t="s">
        <v>227</v>
      </c>
      <c r="G82">
        <v>416</v>
      </c>
      <c r="H82">
        <v>1973</v>
      </c>
    </row>
    <row r="83" spans="1:8">
      <c r="A83" t="s">
        <v>107</v>
      </c>
      <c r="B83">
        <v>50.82</v>
      </c>
      <c r="C83">
        <v>128.90333333333334</v>
      </c>
      <c r="D83" t="s">
        <v>103</v>
      </c>
      <c r="E83" t="s">
        <v>222</v>
      </c>
      <c r="F83" t="s">
        <v>227</v>
      </c>
      <c r="G83">
        <v>616</v>
      </c>
      <c r="H83">
        <v>1973</v>
      </c>
    </row>
    <row r="84" spans="1:8">
      <c r="A84" t="s">
        <v>110</v>
      </c>
      <c r="B84">
        <v>50.87166666666667</v>
      </c>
      <c r="C84">
        <v>129.07666666666665</v>
      </c>
      <c r="D84" t="s">
        <v>103</v>
      </c>
      <c r="E84" t="s">
        <v>222</v>
      </c>
      <c r="F84" t="s">
        <v>227</v>
      </c>
      <c r="G84">
        <v>375</v>
      </c>
      <c r="H84">
        <v>1973</v>
      </c>
    </row>
    <row r="85" spans="1:8" ht="15">
      <c r="A85" t="s">
        <v>82</v>
      </c>
      <c r="B85">
        <v>50.011666666666663</v>
      </c>
      <c r="C85">
        <v>127.52666666666667</v>
      </c>
      <c r="D85" t="s">
        <v>66</v>
      </c>
      <c r="E85" t="s">
        <v>128</v>
      </c>
      <c r="F85" t="s">
        <v>227</v>
      </c>
      <c r="G85" s="44">
        <v>-145</v>
      </c>
      <c r="H85">
        <v>1973</v>
      </c>
    </row>
    <row r="86" spans="1:8">
      <c r="A86" t="s">
        <v>94</v>
      </c>
      <c r="B86">
        <v>50.784999999999997</v>
      </c>
      <c r="C86">
        <v>128.41999999999999</v>
      </c>
      <c r="D86" t="s">
        <v>78</v>
      </c>
      <c r="E86" t="s">
        <v>128</v>
      </c>
      <c r="F86" t="s">
        <v>227</v>
      </c>
      <c r="G86">
        <v>0</v>
      </c>
      <c r="H86">
        <v>1973</v>
      </c>
    </row>
    <row r="87" spans="1:8">
      <c r="A87" t="s">
        <v>46</v>
      </c>
      <c r="B87">
        <v>48.615000000000002</v>
      </c>
      <c r="C87">
        <v>124.76166666666667</v>
      </c>
      <c r="D87" t="s">
        <v>51</v>
      </c>
      <c r="E87" t="s">
        <v>128</v>
      </c>
      <c r="F87" t="s">
        <v>227</v>
      </c>
      <c r="G87">
        <v>0</v>
      </c>
      <c r="H87">
        <v>1973</v>
      </c>
    </row>
    <row r="88" spans="1:8">
      <c r="A88" t="s">
        <v>67</v>
      </c>
      <c r="B88">
        <v>49.171666666666667</v>
      </c>
      <c r="C88">
        <v>125.09166666666667</v>
      </c>
      <c r="D88" t="s">
        <v>66</v>
      </c>
      <c r="E88" t="s">
        <v>128</v>
      </c>
      <c r="F88" t="s">
        <v>227</v>
      </c>
      <c r="G88">
        <v>0</v>
      </c>
      <c r="H88">
        <v>1973</v>
      </c>
    </row>
    <row r="89" spans="1:8">
      <c r="A89" t="s">
        <v>79</v>
      </c>
      <c r="B89">
        <v>49.743333333333332</v>
      </c>
      <c r="C89">
        <v>126.97833333333334</v>
      </c>
      <c r="D89" t="s">
        <v>51</v>
      </c>
      <c r="E89" t="s">
        <v>128</v>
      </c>
      <c r="F89" t="s">
        <v>227</v>
      </c>
      <c r="G89">
        <v>0</v>
      </c>
      <c r="H89">
        <v>1973</v>
      </c>
    </row>
    <row r="90" spans="1:8">
      <c r="A90" t="s">
        <v>62</v>
      </c>
      <c r="B90">
        <v>49.038333333333334</v>
      </c>
      <c r="C90">
        <v>125.71833333333333</v>
      </c>
      <c r="D90" t="s">
        <v>66</v>
      </c>
      <c r="E90" t="s">
        <v>128</v>
      </c>
      <c r="F90" t="s">
        <v>227</v>
      </c>
      <c r="G90">
        <v>265</v>
      </c>
      <c r="H90">
        <v>1973</v>
      </c>
    </row>
    <row r="91" spans="1:8">
      <c r="A91" t="s">
        <v>59</v>
      </c>
      <c r="B91">
        <v>48.875</v>
      </c>
      <c r="C91">
        <v>125.47833333333334</v>
      </c>
      <c r="D91" t="s">
        <v>51</v>
      </c>
      <c r="E91" t="s">
        <v>128</v>
      </c>
      <c r="F91" t="s">
        <v>227</v>
      </c>
      <c r="G91">
        <v>0</v>
      </c>
      <c r="H91">
        <v>1973</v>
      </c>
    </row>
    <row r="92" spans="1:8" ht="15">
      <c r="A92" t="s">
        <v>87</v>
      </c>
      <c r="B92">
        <v>50.101666666666667</v>
      </c>
      <c r="C92">
        <v>127.64666666666666</v>
      </c>
      <c r="D92" t="s">
        <v>90</v>
      </c>
      <c r="E92" t="s">
        <v>128</v>
      </c>
      <c r="F92" t="s">
        <v>227</v>
      </c>
      <c r="G92" s="44">
        <v>-266</v>
      </c>
      <c r="H92">
        <v>1973</v>
      </c>
    </row>
    <row r="93" spans="1:8">
      <c r="A93" t="s">
        <v>52</v>
      </c>
      <c r="B93">
        <v>48.723333333333336</v>
      </c>
      <c r="C93">
        <v>125.105</v>
      </c>
      <c r="D93" t="s">
        <v>51</v>
      </c>
      <c r="E93" t="s">
        <v>128</v>
      </c>
      <c r="F93" t="s">
        <v>227</v>
      </c>
      <c r="G93">
        <v>0</v>
      </c>
      <c r="H93">
        <v>1973</v>
      </c>
    </row>
    <row r="94" spans="1:8">
      <c r="A94" t="s">
        <v>71</v>
      </c>
      <c r="B94">
        <v>49.403333333333336</v>
      </c>
      <c r="C94">
        <v>126.58333333333333</v>
      </c>
      <c r="D94" t="s">
        <v>66</v>
      </c>
      <c r="E94" t="s">
        <v>128</v>
      </c>
      <c r="F94" t="s">
        <v>227</v>
      </c>
      <c r="G94">
        <v>0</v>
      </c>
      <c r="H94">
        <v>1973</v>
      </c>
    </row>
    <row r="95" spans="1:8">
      <c r="A95" t="s">
        <v>75</v>
      </c>
      <c r="B95">
        <v>49.30833333333333</v>
      </c>
      <c r="C95">
        <v>126.22833333333334</v>
      </c>
      <c r="D95" t="s">
        <v>78</v>
      </c>
      <c r="E95" t="s">
        <v>128</v>
      </c>
      <c r="F95" t="s">
        <v>227</v>
      </c>
      <c r="G95">
        <v>0</v>
      </c>
      <c r="H95">
        <v>1973</v>
      </c>
    </row>
    <row r="96" spans="1:8">
      <c r="A96" t="s">
        <v>91</v>
      </c>
      <c r="B96">
        <v>50.111666666666665</v>
      </c>
      <c r="C96">
        <v>127.94</v>
      </c>
      <c r="D96" t="s">
        <v>51</v>
      </c>
      <c r="E96" t="s">
        <v>128</v>
      </c>
      <c r="F96" t="s">
        <v>227</v>
      </c>
      <c r="G96">
        <v>3</v>
      </c>
      <c r="H96">
        <v>1973</v>
      </c>
    </row>
    <row r="97" spans="1:8">
      <c r="A97" t="s">
        <v>56</v>
      </c>
      <c r="B97">
        <v>48.86333333333333</v>
      </c>
      <c r="C97">
        <v>125.35833333333333</v>
      </c>
      <c r="D97" t="s">
        <v>51</v>
      </c>
      <c r="E97" t="s">
        <v>128</v>
      </c>
      <c r="F97" t="s">
        <v>227</v>
      </c>
      <c r="G97">
        <v>0</v>
      </c>
      <c r="H97">
        <v>1973</v>
      </c>
    </row>
    <row r="98" spans="1:8">
      <c r="A98" t="s">
        <v>157</v>
      </c>
      <c r="B98">
        <v>53.05</v>
      </c>
      <c r="C98">
        <v>129.21166666666667</v>
      </c>
      <c r="D98" t="s">
        <v>66</v>
      </c>
      <c r="E98" t="s">
        <v>228</v>
      </c>
      <c r="F98" t="s">
        <v>229</v>
      </c>
      <c r="G98" s="43">
        <v>0</v>
      </c>
      <c r="H98">
        <v>1977</v>
      </c>
    </row>
    <row r="99" spans="1:8">
      <c r="A99" t="s">
        <v>145</v>
      </c>
      <c r="B99">
        <v>51.80833333333333</v>
      </c>
      <c r="C99">
        <v>128.25333333333333</v>
      </c>
      <c r="D99" t="s">
        <v>66</v>
      </c>
      <c r="E99" t="s">
        <v>228</v>
      </c>
      <c r="F99" t="s">
        <v>229</v>
      </c>
      <c r="G99" s="43">
        <v>0</v>
      </c>
      <c r="H99">
        <v>1977</v>
      </c>
    </row>
    <row r="100" spans="1:8">
      <c r="A100" t="s">
        <v>148</v>
      </c>
      <c r="B100">
        <v>51.868333333333332</v>
      </c>
      <c r="C100">
        <v>128.46</v>
      </c>
      <c r="D100" t="s">
        <v>103</v>
      </c>
      <c r="E100" t="s">
        <v>228</v>
      </c>
      <c r="F100" t="s">
        <v>229</v>
      </c>
      <c r="G100" s="43">
        <v>37</v>
      </c>
      <c r="H100">
        <v>1977</v>
      </c>
    </row>
    <row r="101" spans="1:8">
      <c r="A101" t="s">
        <v>151</v>
      </c>
      <c r="B101">
        <v>52.263333333333335</v>
      </c>
      <c r="C101">
        <v>128.72166666666666</v>
      </c>
      <c r="D101" t="s">
        <v>66</v>
      </c>
      <c r="E101" t="s">
        <v>228</v>
      </c>
      <c r="F101" t="s">
        <v>229</v>
      </c>
      <c r="G101" s="43">
        <v>45</v>
      </c>
      <c r="H101">
        <v>1977</v>
      </c>
    </row>
    <row r="102" spans="1:8">
      <c r="A102" t="s">
        <v>142</v>
      </c>
      <c r="B102">
        <v>51.363333333333337</v>
      </c>
      <c r="C102">
        <v>128.00166666666667</v>
      </c>
      <c r="D102" t="s">
        <v>66</v>
      </c>
      <c r="E102" t="s">
        <v>228</v>
      </c>
      <c r="F102" t="s">
        <v>229</v>
      </c>
      <c r="G102" s="43">
        <v>276</v>
      </c>
      <c r="H102">
        <v>1977</v>
      </c>
    </row>
    <row r="103" spans="1:8">
      <c r="A103" t="s">
        <v>154</v>
      </c>
      <c r="B103">
        <v>52.463333333333331</v>
      </c>
      <c r="C103">
        <v>129.37166666666667</v>
      </c>
      <c r="D103" t="s">
        <v>66</v>
      </c>
      <c r="E103" t="s">
        <v>228</v>
      </c>
      <c r="F103" t="s">
        <v>229</v>
      </c>
      <c r="G103" s="43">
        <v>85</v>
      </c>
      <c r="H103">
        <v>1977</v>
      </c>
    </row>
    <row r="104" spans="1:8">
      <c r="A104" t="s">
        <v>138</v>
      </c>
      <c r="B104">
        <v>51.28</v>
      </c>
      <c r="C104">
        <v>128.20333333333335</v>
      </c>
      <c r="D104" t="s">
        <v>103</v>
      </c>
      <c r="E104" t="s">
        <v>228</v>
      </c>
      <c r="F104" t="s">
        <v>229</v>
      </c>
      <c r="G104" s="43">
        <v>62</v>
      </c>
      <c r="H104">
        <v>1977</v>
      </c>
    </row>
    <row r="105" spans="1:8">
      <c r="A105" t="s">
        <v>26</v>
      </c>
      <c r="B105">
        <v>52.103333333333332</v>
      </c>
      <c r="C105">
        <v>131.24</v>
      </c>
      <c r="D105" t="s">
        <v>66</v>
      </c>
      <c r="E105" t="s">
        <v>231</v>
      </c>
      <c r="F105" t="s">
        <v>229</v>
      </c>
      <c r="G105" s="43" t="s">
        <v>30</v>
      </c>
      <c r="H105">
        <v>1977</v>
      </c>
    </row>
    <row r="106" spans="1:8">
      <c r="A106" t="s">
        <v>19</v>
      </c>
      <c r="B106">
        <v>51.911666666666669</v>
      </c>
      <c r="C106">
        <v>130.98166666666665</v>
      </c>
      <c r="D106" t="s">
        <v>103</v>
      </c>
      <c r="E106" t="s">
        <v>231</v>
      </c>
      <c r="F106" t="s">
        <v>229</v>
      </c>
      <c r="G106" s="43">
        <v>782</v>
      </c>
      <c r="H106">
        <v>1977</v>
      </c>
    </row>
    <row r="107" spans="1:8">
      <c r="A107" t="s">
        <v>23</v>
      </c>
      <c r="B107">
        <v>53.376666666666665</v>
      </c>
      <c r="C107">
        <v>132.72166666666666</v>
      </c>
      <c r="D107" t="s">
        <v>51</v>
      </c>
      <c r="E107" t="s">
        <v>231</v>
      </c>
      <c r="F107" t="s">
        <v>229</v>
      </c>
      <c r="G107" s="43">
        <v>0</v>
      </c>
      <c r="H107">
        <v>1977</v>
      </c>
    </row>
    <row r="108" spans="1:8">
      <c r="A108" t="s">
        <v>215</v>
      </c>
      <c r="B108">
        <v>52.213333333333331</v>
      </c>
      <c r="C108">
        <v>130.96</v>
      </c>
      <c r="D108" t="s">
        <v>103</v>
      </c>
      <c r="E108" t="s">
        <v>231</v>
      </c>
      <c r="F108" t="s">
        <v>229</v>
      </c>
      <c r="G108" s="43" t="s">
        <v>30</v>
      </c>
      <c r="H108">
        <v>1977</v>
      </c>
    </row>
    <row r="109" spans="1:8">
      <c r="A109" t="s">
        <v>207</v>
      </c>
      <c r="B109">
        <v>53.813333333333333</v>
      </c>
      <c r="C109">
        <v>133.13333333333333</v>
      </c>
      <c r="D109" t="s">
        <v>66</v>
      </c>
      <c r="E109" t="s">
        <v>231</v>
      </c>
      <c r="F109" t="s">
        <v>229</v>
      </c>
      <c r="G109" s="43">
        <v>399</v>
      </c>
      <c r="H109">
        <v>1977</v>
      </c>
    </row>
    <row r="110" spans="1:8">
      <c r="A110" t="s">
        <v>190</v>
      </c>
      <c r="B110">
        <v>52.336666666666666</v>
      </c>
      <c r="C110">
        <v>131.13166666666666</v>
      </c>
      <c r="D110" t="s">
        <v>66</v>
      </c>
      <c r="E110" t="s">
        <v>231</v>
      </c>
      <c r="F110" t="s">
        <v>229</v>
      </c>
      <c r="G110" s="43" t="s">
        <v>30</v>
      </c>
      <c r="H110">
        <v>1977</v>
      </c>
    </row>
    <row r="111" spans="1:8">
      <c r="A111" t="s">
        <v>25</v>
      </c>
      <c r="B111">
        <v>54.26</v>
      </c>
      <c r="C111">
        <v>133.01499999999999</v>
      </c>
      <c r="D111" t="s">
        <v>51</v>
      </c>
      <c r="E111" t="s">
        <v>231</v>
      </c>
      <c r="F111" t="s">
        <v>229</v>
      </c>
      <c r="G111" s="43">
        <v>0</v>
      </c>
      <c r="H111">
        <v>1977</v>
      </c>
    </row>
    <row r="112" spans="1:8">
      <c r="A112" t="s">
        <v>203</v>
      </c>
      <c r="B112">
        <v>53.204999999999998</v>
      </c>
      <c r="C112">
        <v>132.65166666666667</v>
      </c>
      <c r="D112" t="s">
        <v>66</v>
      </c>
      <c r="E112" t="s">
        <v>231</v>
      </c>
      <c r="F112" t="s">
        <v>229</v>
      </c>
      <c r="G112" s="43">
        <v>0</v>
      </c>
      <c r="H112">
        <v>1977</v>
      </c>
    </row>
    <row r="113" spans="1:8">
      <c r="A113" t="s">
        <v>21</v>
      </c>
      <c r="B113">
        <v>52.973333333333336</v>
      </c>
      <c r="C113">
        <v>132.36000000000001</v>
      </c>
      <c r="D113" t="s">
        <v>78</v>
      </c>
      <c r="E113" t="s">
        <v>231</v>
      </c>
      <c r="F113" t="s">
        <v>229</v>
      </c>
      <c r="G113" s="43">
        <v>0</v>
      </c>
      <c r="H113">
        <v>1977</v>
      </c>
    </row>
    <row r="114" spans="1:8">
      <c r="A114" t="s">
        <v>14</v>
      </c>
      <c r="B114">
        <v>52.87166666666667</v>
      </c>
      <c r="C114">
        <v>131.48500000000001</v>
      </c>
      <c r="D114" t="s">
        <v>66</v>
      </c>
      <c r="E114" t="s">
        <v>231</v>
      </c>
      <c r="F114" t="s">
        <v>229</v>
      </c>
      <c r="G114" s="43">
        <v>88</v>
      </c>
      <c r="H114">
        <v>1977</v>
      </c>
    </row>
    <row r="115" spans="1:8">
      <c r="A115" t="s">
        <v>13</v>
      </c>
      <c r="B115">
        <v>54.211666666666666</v>
      </c>
      <c r="C115">
        <v>131.61333333333334</v>
      </c>
      <c r="D115" t="s">
        <v>66</v>
      </c>
      <c r="E115" t="s">
        <v>231</v>
      </c>
      <c r="F115" t="s">
        <v>229</v>
      </c>
      <c r="G115" s="43" t="s">
        <v>30</v>
      </c>
      <c r="H115">
        <v>1977</v>
      </c>
    </row>
    <row r="116" spans="1:8">
      <c r="A116" t="s">
        <v>20</v>
      </c>
      <c r="B116">
        <v>52.703333333333333</v>
      </c>
      <c r="C116">
        <v>132.07499999999999</v>
      </c>
      <c r="D116" t="s">
        <v>66</v>
      </c>
      <c r="E116" t="s">
        <v>231</v>
      </c>
      <c r="F116" t="s">
        <v>229</v>
      </c>
      <c r="G116" s="43">
        <v>278</v>
      </c>
      <c r="H116">
        <v>1977</v>
      </c>
    </row>
    <row r="117" spans="1:8">
      <c r="A117" t="s">
        <v>187</v>
      </c>
      <c r="B117">
        <v>52.953333333333333</v>
      </c>
      <c r="C117">
        <v>131.55166666666668</v>
      </c>
      <c r="D117" t="s">
        <v>78</v>
      </c>
      <c r="E117" t="s">
        <v>231</v>
      </c>
      <c r="F117" t="s">
        <v>229</v>
      </c>
      <c r="G117" s="43">
        <v>0</v>
      </c>
      <c r="H117">
        <v>1977</v>
      </c>
    </row>
    <row r="118" spans="1:8">
      <c r="A118" t="s">
        <v>193</v>
      </c>
      <c r="B118">
        <v>52.543333333333337</v>
      </c>
      <c r="C118">
        <v>131.35666666666665</v>
      </c>
      <c r="D118" t="s">
        <v>66</v>
      </c>
      <c r="E118" t="s">
        <v>231</v>
      </c>
      <c r="F118" t="s">
        <v>229</v>
      </c>
      <c r="G118" s="43">
        <v>0</v>
      </c>
      <c r="H118">
        <v>1977</v>
      </c>
    </row>
    <row r="119" spans="1:8">
      <c r="A119" t="s">
        <v>173</v>
      </c>
      <c r="B119">
        <v>53.466666666666669</v>
      </c>
      <c r="C119">
        <v>130.61333333333334</v>
      </c>
      <c r="D119" t="s">
        <v>103</v>
      </c>
      <c r="E119" t="s">
        <v>230</v>
      </c>
      <c r="F119" t="s">
        <v>229</v>
      </c>
      <c r="G119" s="43" t="s">
        <v>30</v>
      </c>
      <c r="H119">
        <v>1977</v>
      </c>
    </row>
    <row r="120" spans="1:8">
      <c r="A120" t="s">
        <v>180</v>
      </c>
      <c r="B120">
        <v>54.44166666666667</v>
      </c>
      <c r="C120">
        <v>130.98666666666668</v>
      </c>
      <c r="D120" t="s">
        <v>66</v>
      </c>
      <c r="E120" t="s">
        <v>230</v>
      </c>
      <c r="F120" t="s">
        <v>229</v>
      </c>
      <c r="G120" s="43">
        <v>782</v>
      </c>
      <c r="H120">
        <v>1977</v>
      </c>
    </row>
    <row r="121" spans="1:8">
      <c r="A121" t="s">
        <v>163</v>
      </c>
      <c r="B121">
        <v>52.736666666666665</v>
      </c>
      <c r="C121">
        <v>129.53</v>
      </c>
      <c r="D121" t="s">
        <v>66</v>
      </c>
      <c r="E121" t="s">
        <v>230</v>
      </c>
      <c r="F121" t="s">
        <v>229</v>
      </c>
      <c r="G121" s="43" t="s">
        <v>30</v>
      </c>
      <c r="H121">
        <v>1977</v>
      </c>
    </row>
    <row r="122" spans="1:8">
      <c r="A122" t="s">
        <v>166</v>
      </c>
      <c r="B122">
        <v>53.145000000000003</v>
      </c>
      <c r="C122">
        <v>130.04166666666666</v>
      </c>
      <c r="D122" t="s">
        <v>66</v>
      </c>
      <c r="E122" t="s">
        <v>230</v>
      </c>
      <c r="F122" t="s">
        <v>229</v>
      </c>
      <c r="G122" s="43">
        <v>88</v>
      </c>
      <c r="H122">
        <v>1977</v>
      </c>
    </row>
    <row r="123" spans="1:8">
      <c r="A123" t="s">
        <v>170</v>
      </c>
      <c r="B123">
        <v>53.255000000000003</v>
      </c>
      <c r="C123">
        <v>130.34166666666667</v>
      </c>
      <c r="D123" t="s">
        <v>103</v>
      </c>
      <c r="E123" t="s">
        <v>230</v>
      </c>
      <c r="F123" t="s">
        <v>229</v>
      </c>
      <c r="G123" s="43">
        <v>0</v>
      </c>
      <c r="H123">
        <v>1977</v>
      </c>
    </row>
    <row r="124" spans="1:8">
      <c r="A124" t="s">
        <v>176</v>
      </c>
      <c r="B124">
        <v>54.064999999999998</v>
      </c>
      <c r="C124">
        <v>130.85166666666666</v>
      </c>
      <c r="D124" t="s">
        <v>66</v>
      </c>
      <c r="E124" t="s">
        <v>230</v>
      </c>
      <c r="F124" t="s">
        <v>229</v>
      </c>
      <c r="G124" s="43">
        <v>0</v>
      </c>
      <c r="H124">
        <v>1977</v>
      </c>
    </row>
    <row r="125" spans="1:8">
      <c r="A125" t="s">
        <v>115</v>
      </c>
      <c r="B125">
        <v>50.94166666666667</v>
      </c>
      <c r="C125">
        <v>127.92</v>
      </c>
      <c r="D125" t="s">
        <v>51</v>
      </c>
      <c r="E125" t="s">
        <v>223</v>
      </c>
      <c r="F125" t="s">
        <v>227</v>
      </c>
      <c r="G125" s="43">
        <v>4</v>
      </c>
      <c r="H125">
        <v>1977</v>
      </c>
    </row>
    <row r="126" spans="1:8">
      <c r="A126" t="s">
        <v>118</v>
      </c>
      <c r="B126">
        <v>50.94166666666667</v>
      </c>
      <c r="C126">
        <v>127.65666666666667</v>
      </c>
      <c r="D126" t="s">
        <v>51</v>
      </c>
      <c r="E126" t="s">
        <v>223</v>
      </c>
      <c r="F126" t="s">
        <v>227</v>
      </c>
      <c r="G126" s="43">
        <v>0</v>
      </c>
      <c r="H126">
        <v>1977</v>
      </c>
    </row>
    <row r="127" spans="1:8">
      <c r="A127" t="s">
        <v>123</v>
      </c>
      <c r="B127">
        <v>50.74666666666667</v>
      </c>
      <c r="C127">
        <v>126.72166666666666</v>
      </c>
      <c r="D127" t="s">
        <v>66</v>
      </c>
      <c r="E127" t="s">
        <v>223</v>
      </c>
      <c r="F127" t="s">
        <v>227</v>
      </c>
      <c r="G127" s="43">
        <v>0</v>
      </c>
      <c r="H127">
        <v>1977</v>
      </c>
    </row>
    <row r="128" spans="1:8">
      <c r="A128" t="s">
        <v>120</v>
      </c>
      <c r="B128">
        <v>50.91</v>
      </c>
      <c r="C128">
        <v>127.44166666666666</v>
      </c>
      <c r="D128" t="s">
        <v>51</v>
      </c>
      <c r="E128" t="s">
        <v>223</v>
      </c>
      <c r="F128" t="s">
        <v>227</v>
      </c>
      <c r="G128" s="43">
        <v>0</v>
      </c>
      <c r="H128">
        <v>1977</v>
      </c>
    </row>
    <row r="129" spans="1:8">
      <c r="A129" t="s">
        <v>104</v>
      </c>
      <c r="B129">
        <v>50.791666666666664</v>
      </c>
      <c r="C129">
        <v>128.77000000000001</v>
      </c>
      <c r="D129" t="s">
        <v>66</v>
      </c>
      <c r="E129" t="s">
        <v>222</v>
      </c>
      <c r="F129" t="s">
        <v>227</v>
      </c>
      <c r="G129" s="43">
        <v>24</v>
      </c>
      <c r="H129">
        <v>1977</v>
      </c>
    </row>
    <row r="130" spans="1:8">
      <c r="A130" t="s">
        <v>100</v>
      </c>
      <c r="B130">
        <v>50.801666666666669</v>
      </c>
      <c r="C130">
        <v>128.78</v>
      </c>
      <c r="D130" t="s">
        <v>103</v>
      </c>
      <c r="E130" t="s">
        <v>222</v>
      </c>
      <c r="F130" t="s">
        <v>227</v>
      </c>
      <c r="G130" s="43">
        <v>627</v>
      </c>
      <c r="H130">
        <v>1977</v>
      </c>
    </row>
    <row r="131" spans="1:8">
      <c r="A131" t="s">
        <v>107</v>
      </c>
      <c r="B131">
        <v>50.82</v>
      </c>
      <c r="C131">
        <v>128.90333333333334</v>
      </c>
      <c r="D131" t="s">
        <v>103</v>
      </c>
      <c r="E131" t="s">
        <v>222</v>
      </c>
      <c r="F131" t="s">
        <v>227</v>
      </c>
      <c r="G131" s="43">
        <v>879</v>
      </c>
      <c r="H131">
        <v>1977</v>
      </c>
    </row>
    <row r="132" spans="1:8">
      <c r="A132" t="s">
        <v>110</v>
      </c>
      <c r="B132">
        <v>50.87166666666667</v>
      </c>
      <c r="C132">
        <v>129.07666666666665</v>
      </c>
      <c r="D132" t="s">
        <v>103</v>
      </c>
      <c r="E132" t="s">
        <v>222</v>
      </c>
      <c r="F132" t="s">
        <v>227</v>
      </c>
      <c r="G132" s="43">
        <v>570</v>
      </c>
      <c r="H132">
        <v>1977</v>
      </c>
    </row>
    <row r="133" spans="1:8">
      <c r="A133" t="s">
        <v>82</v>
      </c>
      <c r="B133">
        <v>50.011666666666663</v>
      </c>
      <c r="C133">
        <v>127.52666666666667</v>
      </c>
      <c r="D133" t="s">
        <v>66</v>
      </c>
      <c r="E133" t="s">
        <v>128</v>
      </c>
      <c r="F133" t="s">
        <v>227</v>
      </c>
      <c r="G133" s="43">
        <v>105</v>
      </c>
      <c r="H133">
        <v>1977</v>
      </c>
    </row>
    <row r="134" spans="1:8">
      <c r="A134" t="s">
        <v>94</v>
      </c>
      <c r="B134">
        <v>50.784999999999997</v>
      </c>
      <c r="C134">
        <v>128.41999999999999</v>
      </c>
      <c r="D134" t="s">
        <v>78</v>
      </c>
      <c r="E134" t="s">
        <v>128</v>
      </c>
      <c r="F134" t="s">
        <v>227</v>
      </c>
      <c r="G134" s="43">
        <v>1</v>
      </c>
      <c r="H134">
        <v>1977</v>
      </c>
    </row>
    <row r="135" spans="1:8">
      <c r="A135" t="s">
        <v>46</v>
      </c>
      <c r="B135">
        <v>48.615000000000002</v>
      </c>
      <c r="C135">
        <v>124.76166666666667</v>
      </c>
      <c r="D135" t="s">
        <v>51</v>
      </c>
      <c r="E135" t="s">
        <v>128</v>
      </c>
      <c r="F135" t="s">
        <v>227</v>
      </c>
      <c r="G135" s="43">
        <v>181</v>
      </c>
      <c r="H135">
        <v>1977</v>
      </c>
    </row>
    <row r="136" spans="1:8">
      <c r="A136" t="s">
        <v>67</v>
      </c>
      <c r="B136">
        <v>49.171666666666667</v>
      </c>
      <c r="C136">
        <v>125.09166666666667</v>
      </c>
      <c r="D136" t="s">
        <v>66</v>
      </c>
      <c r="E136" t="s">
        <v>128</v>
      </c>
      <c r="F136" t="s">
        <v>227</v>
      </c>
      <c r="G136" s="43">
        <v>0</v>
      </c>
      <c r="H136">
        <v>1977</v>
      </c>
    </row>
    <row r="137" spans="1:8">
      <c r="A137" t="s">
        <v>79</v>
      </c>
      <c r="B137">
        <v>49.743333333333332</v>
      </c>
      <c r="C137">
        <v>126.97833333333334</v>
      </c>
      <c r="D137" t="s">
        <v>51</v>
      </c>
      <c r="E137" t="s">
        <v>128</v>
      </c>
      <c r="F137" t="s">
        <v>227</v>
      </c>
      <c r="G137" s="43">
        <v>0</v>
      </c>
      <c r="H137">
        <v>1977</v>
      </c>
    </row>
    <row r="138" spans="1:8">
      <c r="A138" t="s">
        <v>62</v>
      </c>
      <c r="B138">
        <v>49.038333333333334</v>
      </c>
      <c r="C138">
        <v>125.71833333333333</v>
      </c>
      <c r="D138" t="s">
        <v>66</v>
      </c>
      <c r="E138" t="s">
        <v>128</v>
      </c>
      <c r="F138" t="s">
        <v>227</v>
      </c>
      <c r="G138" s="43">
        <v>10</v>
      </c>
      <c r="H138">
        <v>1977</v>
      </c>
    </row>
    <row r="139" spans="1:8">
      <c r="A139" t="s">
        <v>59</v>
      </c>
      <c r="B139">
        <v>48.875</v>
      </c>
      <c r="C139">
        <v>125.47833333333334</v>
      </c>
      <c r="D139" t="s">
        <v>51</v>
      </c>
      <c r="E139" t="s">
        <v>128</v>
      </c>
      <c r="F139" t="s">
        <v>227</v>
      </c>
      <c r="G139" s="43">
        <v>0</v>
      </c>
      <c r="H139">
        <v>1977</v>
      </c>
    </row>
    <row r="140" spans="1:8">
      <c r="A140" t="s">
        <v>87</v>
      </c>
      <c r="B140">
        <v>50.101666666666667</v>
      </c>
      <c r="C140">
        <v>127.64666666666666</v>
      </c>
      <c r="D140" t="s">
        <v>90</v>
      </c>
      <c r="E140" t="s">
        <v>128</v>
      </c>
      <c r="F140" t="s">
        <v>227</v>
      </c>
      <c r="G140" s="43">
        <v>200</v>
      </c>
      <c r="H140">
        <v>1977</v>
      </c>
    </row>
    <row r="141" spans="1:8">
      <c r="A141" t="s">
        <v>52</v>
      </c>
      <c r="B141">
        <v>48.723333333333336</v>
      </c>
      <c r="C141">
        <v>125.105</v>
      </c>
      <c r="D141" t="s">
        <v>51</v>
      </c>
      <c r="E141" t="s">
        <v>128</v>
      </c>
      <c r="F141" t="s">
        <v>227</v>
      </c>
      <c r="G141" s="43">
        <v>0</v>
      </c>
      <c r="H141">
        <v>1977</v>
      </c>
    </row>
    <row r="142" spans="1:8">
      <c r="A142" t="s">
        <v>71</v>
      </c>
      <c r="B142">
        <v>49.403333333333336</v>
      </c>
      <c r="C142">
        <v>126.58333333333333</v>
      </c>
      <c r="D142" t="s">
        <v>66</v>
      </c>
      <c r="E142" t="s">
        <v>128</v>
      </c>
      <c r="F142" t="s">
        <v>227</v>
      </c>
      <c r="G142" s="43">
        <v>0</v>
      </c>
      <c r="H142">
        <v>1977</v>
      </c>
    </row>
    <row r="143" spans="1:8">
      <c r="A143" t="s">
        <v>75</v>
      </c>
      <c r="B143">
        <v>49.30833333333333</v>
      </c>
      <c r="C143">
        <v>126.22833333333334</v>
      </c>
      <c r="D143" t="s">
        <v>78</v>
      </c>
      <c r="E143" t="s">
        <v>128</v>
      </c>
      <c r="F143" t="s">
        <v>227</v>
      </c>
      <c r="G143" s="43">
        <v>0</v>
      </c>
      <c r="H143">
        <v>1977</v>
      </c>
    </row>
    <row r="144" spans="1:8">
      <c r="A144" t="s">
        <v>91</v>
      </c>
      <c r="B144">
        <v>50.111666666666665</v>
      </c>
      <c r="C144">
        <v>127.94</v>
      </c>
      <c r="D144" t="s">
        <v>51</v>
      </c>
      <c r="E144" t="s">
        <v>128</v>
      </c>
      <c r="F144" t="s">
        <v>227</v>
      </c>
      <c r="G144" s="43">
        <v>1</v>
      </c>
      <c r="H144">
        <v>1977</v>
      </c>
    </row>
    <row r="145" spans="1:8">
      <c r="A145" t="s">
        <v>56</v>
      </c>
      <c r="B145">
        <v>48.86333333333333</v>
      </c>
      <c r="C145">
        <v>125.35833333333333</v>
      </c>
      <c r="D145" t="s">
        <v>51</v>
      </c>
      <c r="E145" t="s">
        <v>128</v>
      </c>
      <c r="F145" t="s">
        <v>227</v>
      </c>
      <c r="G145" s="43">
        <v>0</v>
      </c>
      <c r="H145">
        <v>1977</v>
      </c>
    </row>
    <row r="146" spans="1:8" ht="15">
      <c r="A146" t="s">
        <v>157</v>
      </c>
      <c r="B146">
        <v>53.05</v>
      </c>
      <c r="C146">
        <v>129.21166666666667</v>
      </c>
      <c r="D146" t="s">
        <v>66</v>
      </c>
      <c r="E146" t="s">
        <v>228</v>
      </c>
      <c r="F146" t="s">
        <v>229</v>
      </c>
      <c r="G146" s="44">
        <v>-13</v>
      </c>
      <c r="H146">
        <v>1982</v>
      </c>
    </row>
    <row r="147" spans="1:8">
      <c r="A147" t="s">
        <v>145</v>
      </c>
      <c r="B147">
        <v>51.80833333333333</v>
      </c>
      <c r="C147">
        <v>128.25333333333333</v>
      </c>
      <c r="D147" t="s">
        <v>66</v>
      </c>
      <c r="E147" t="s">
        <v>228</v>
      </c>
      <c r="F147" t="s">
        <v>229</v>
      </c>
      <c r="G147">
        <v>0</v>
      </c>
      <c r="H147">
        <v>1982</v>
      </c>
    </row>
    <row r="148" spans="1:8">
      <c r="A148" t="s">
        <v>148</v>
      </c>
      <c r="B148">
        <v>51.868333333333332</v>
      </c>
      <c r="C148">
        <v>128.46</v>
      </c>
      <c r="D148" t="s">
        <v>103</v>
      </c>
      <c r="E148" t="s">
        <v>228</v>
      </c>
      <c r="F148" t="s">
        <v>229</v>
      </c>
      <c r="G148">
        <v>179</v>
      </c>
      <c r="H148">
        <v>1982</v>
      </c>
    </row>
    <row r="149" spans="1:8">
      <c r="A149" t="s">
        <v>151</v>
      </c>
      <c r="B149">
        <v>52.263333333333335</v>
      </c>
      <c r="C149">
        <v>128.72166666666666</v>
      </c>
      <c r="D149" t="s">
        <v>66</v>
      </c>
      <c r="E149" t="s">
        <v>228</v>
      </c>
      <c r="F149" t="s">
        <v>229</v>
      </c>
      <c r="G149">
        <v>0</v>
      </c>
      <c r="H149">
        <v>1982</v>
      </c>
    </row>
    <row r="150" spans="1:8">
      <c r="A150" t="s">
        <v>142</v>
      </c>
      <c r="B150">
        <v>51.363333333333337</v>
      </c>
      <c r="C150">
        <v>128.00166666666667</v>
      </c>
      <c r="D150" t="s">
        <v>66</v>
      </c>
      <c r="E150" t="s">
        <v>228</v>
      </c>
      <c r="F150" t="s">
        <v>229</v>
      </c>
      <c r="G150">
        <v>23</v>
      </c>
      <c r="H150">
        <v>1982</v>
      </c>
    </row>
    <row r="151" spans="1:8">
      <c r="A151" t="s">
        <v>154</v>
      </c>
      <c r="B151">
        <v>52.463333333333331</v>
      </c>
      <c r="C151">
        <v>129.37166666666667</v>
      </c>
      <c r="D151" t="s">
        <v>66</v>
      </c>
      <c r="E151" t="s">
        <v>228</v>
      </c>
      <c r="F151" t="s">
        <v>229</v>
      </c>
      <c r="G151">
        <v>150</v>
      </c>
      <c r="H151">
        <v>1982</v>
      </c>
    </row>
    <row r="152" spans="1:8">
      <c r="A152" t="s">
        <v>138</v>
      </c>
      <c r="B152">
        <v>51.28</v>
      </c>
      <c r="C152">
        <v>128.20333333333335</v>
      </c>
      <c r="D152" t="s">
        <v>103</v>
      </c>
      <c r="E152" t="s">
        <v>228</v>
      </c>
      <c r="F152" t="s">
        <v>229</v>
      </c>
      <c r="G152">
        <v>190</v>
      </c>
      <c r="H152">
        <v>1982</v>
      </c>
    </row>
    <row r="153" spans="1:8" ht="15">
      <c r="A153" t="s">
        <v>26</v>
      </c>
      <c r="B153">
        <v>52.103333333333332</v>
      </c>
      <c r="C153">
        <v>131.24</v>
      </c>
      <c r="D153" t="s">
        <v>66</v>
      </c>
      <c r="E153" t="s">
        <v>231</v>
      </c>
      <c r="F153" t="s">
        <v>229</v>
      </c>
      <c r="G153" s="44" t="s">
        <v>70</v>
      </c>
      <c r="H153">
        <v>1982</v>
      </c>
    </row>
    <row r="154" spans="1:8">
      <c r="A154" t="s">
        <v>19</v>
      </c>
      <c r="B154">
        <v>51.911666666666669</v>
      </c>
      <c r="C154">
        <v>130.98166666666665</v>
      </c>
      <c r="D154" t="s">
        <v>103</v>
      </c>
      <c r="E154" t="s">
        <v>231</v>
      </c>
      <c r="F154" t="s">
        <v>229</v>
      </c>
      <c r="G154">
        <v>698</v>
      </c>
      <c r="H154">
        <v>1982</v>
      </c>
    </row>
    <row r="155" spans="1:8">
      <c r="A155" t="s">
        <v>23</v>
      </c>
      <c r="B155">
        <v>53.376666666666665</v>
      </c>
      <c r="C155">
        <v>132.72166666666666</v>
      </c>
      <c r="D155" t="s">
        <v>51</v>
      </c>
      <c r="E155" t="s">
        <v>231</v>
      </c>
      <c r="F155" t="s">
        <v>229</v>
      </c>
      <c r="G155">
        <v>0</v>
      </c>
      <c r="H155">
        <v>1982</v>
      </c>
    </row>
    <row r="156" spans="1:8">
      <c r="A156" t="s">
        <v>215</v>
      </c>
      <c r="B156">
        <v>52.213333333333331</v>
      </c>
      <c r="C156">
        <v>130.96</v>
      </c>
      <c r="D156" t="s">
        <v>103</v>
      </c>
      <c r="E156" t="s">
        <v>231</v>
      </c>
      <c r="F156" t="s">
        <v>229</v>
      </c>
      <c r="G156" t="s">
        <v>30</v>
      </c>
      <c r="H156">
        <v>1982</v>
      </c>
    </row>
    <row r="157" spans="1:8">
      <c r="A157" t="s">
        <v>207</v>
      </c>
      <c r="B157">
        <v>53.813333333333333</v>
      </c>
      <c r="C157">
        <v>133.13333333333333</v>
      </c>
      <c r="D157" t="s">
        <v>66</v>
      </c>
      <c r="E157" t="s">
        <v>231</v>
      </c>
      <c r="F157" t="s">
        <v>229</v>
      </c>
      <c r="G157">
        <v>366</v>
      </c>
      <c r="H157">
        <v>1982</v>
      </c>
    </row>
    <row r="158" spans="1:8">
      <c r="A158" t="s">
        <v>190</v>
      </c>
      <c r="B158">
        <v>52.336666666666666</v>
      </c>
      <c r="C158">
        <v>131.13166666666666</v>
      </c>
      <c r="D158" t="s">
        <v>66</v>
      </c>
      <c r="E158" t="s">
        <v>231</v>
      </c>
      <c r="F158" t="s">
        <v>229</v>
      </c>
      <c r="G158" t="s">
        <v>30</v>
      </c>
      <c r="H158">
        <v>1982</v>
      </c>
    </row>
    <row r="159" spans="1:8">
      <c r="A159" t="s">
        <v>25</v>
      </c>
      <c r="B159">
        <v>54.26</v>
      </c>
      <c r="C159">
        <v>133.01499999999999</v>
      </c>
      <c r="D159" t="s">
        <v>51</v>
      </c>
      <c r="E159" t="s">
        <v>231</v>
      </c>
      <c r="F159" t="s">
        <v>229</v>
      </c>
      <c r="G159">
        <v>3</v>
      </c>
      <c r="H159">
        <v>1982</v>
      </c>
    </row>
    <row r="160" spans="1:8">
      <c r="A160" t="s">
        <v>203</v>
      </c>
      <c r="B160">
        <v>53.204999999999998</v>
      </c>
      <c r="C160">
        <v>132.65166666666667</v>
      </c>
      <c r="D160" t="s">
        <v>66</v>
      </c>
      <c r="E160" t="s">
        <v>231</v>
      </c>
      <c r="F160" t="s">
        <v>229</v>
      </c>
      <c r="G160">
        <v>0</v>
      </c>
      <c r="H160">
        <v>1982</v>
      </c>
    </row>
    <row r="161" spans="1:8">
      <c r="A161" t="s">
        <v>21</v>
      </c>
      <c r="B161">
        <v>52.973333333333336</v>
      </c>
      <c r="C161">
        <v>132.36000000000001</v>
      </c>
      <c r="D161" t="s">
        <v>78</v>
      </c>
      <c r="E161" t="s">
        <v>231</v>
      </c>
      <c r="F161" t="s">
        <v>229</v>
      </c>
      <c r="G161">
        <v>0</v>
      </c>
      <c r="H161">
        <v>1982</v>
      </c>
    </row>
    <row r="162" spans="1:8">
      <c r="A162" t="s">
        <v>14</v>
      </c>
      <c r="B162">
        <v>52.87166666666667</v>
      </c>
      <c r="C162">
        <v>131.48500000000001</v>
      </c>
      <c r="D162" t="s">
        <v>66</v>
      </c>
      <c r="E162" t="s">
        <v>231</v>
      </c>
      <c r="F162" t="s">
        <v>229</v>
      </c>
      <c r="G162">
        <v>36</v>
      </c>
      <c r="H162">
        <v>1982</v>
      </c>
    </row>
    <row r="163" spans="1:8">
      <c r="A163" t="s">
        <v>13</v>
      </c>
      <c r="B163">
        <v>54.211666666666666</v>
      </c>
      <c r="C163">
        <v>131.61333333333334</v>
      </c>
      <c r="D163" t="s">
        <v>66</v>
      </c>
      <c r="E163" t="s">
        <v>231</v>
      </c>
      <c r="F163" t="s">
        <v>229</v>
      </c>
      <c r="G163" t="s">
        <v>30</v>
      </c>
      <c r="H163">
        <v>1982</v>
      </c>
    </row>
    <row r="164" spans="1:8">
      <c r="A164" t="s">
        <v>20</v>
      </c>
      <c r="B164">
        <v>52.703333333333333</v>
      </c>
      <c r="C164">
        <v>132.07499999999999</v>
      </c>
      <c r="D164" t="s">
        <v>66</v>
      </c>
      <c r="E164" t="s">
        <v>231</v>
      </c>
      <c r="F164" t="s">
        <v>229</v>
      </c>
      <c r="G164">
        <v>117</v>
      </c>
      <c r="H164">
        <v>1982</v>
      </c>
    </row>
    <row r="165" spans="1:8">
      <c r="A165" t="s">
        <v>187</v>
      </c>
      <c r="B165">
        <v>52.953333333333333</v>
      </c>
      <c r="C165">
        <v>131.55166666666668</v>
      </c>
      <c r="D165" t="s">
        <v>78</v>
      </c>
      <c r="E165" t="s">
        <v>231</v>
      </c>
      <c r="F165" t="s">
        <v>229</v>
      </c>
      <c r="G165">
        <v>45</v>
      </c>
      <c r="H165">
        <v>1982</v>
      </c>
    </row>
    <row r="166" spans="1:8">
      <c r="A166" t="s">
        <v>193</v>
      </c>
      <c r="B166">
        <v>52.543333333333337</v>
      </c>
      <c r="C166">
        <v>131.35666666666665</v>
      </c>
      <c r="D166" t="s">
        <v>66</v>
      </c>
      <c r="E166" t="s">
        <v>231</v>
      </c>
      <c r="F166" t="s">
        <v>229</v>
      </c>
      <c r="G166">
        <v>0</v>
      </c>
      <c r="H166">
        <v>1982</v>
      </c>
    </row>
    <row r="167" spans="1:8">
      <c r="A167" t="s">
        <v>173</v>
      </c>
      <c r="B167">
        <v>53.466666666666669</v>
      </c>
      <c r="C167">
        <v>130.61333333333334</v>
      </c>
      <c r="D167" t="s">
        <v>103</v>
      </c>
      <c r="E167" t="s">
        <v>230</v>
      </c>
      <c r="F167" t="s">
        <v>229</v>
      </c>
      <c r="G167" t="s">
        <v>30</v>
      </c>
      <c r="H167">
        <v>1982</v>
      </c>
    </row>
    <row r="168" spans="1:8">
      <c r="A168" t="s">
        <v>180</v>
      </c>
      <c r="B168">
        <v>54.44166666666667</v>
      </c>
      <c r="C168">
        <v>130.98666666666668</v>
      </c>
      <c r="D168" t="s">
        <v>66</v>
      </c>
      <c r="E168" t="s">
        <v>230</v>
      </c>
      <c r="F168" t="s">
        <v>229</v>
      </c>
      <c r="G168">
        <v>698</v>
      </c>
      <c r="H168">
        <v>1982</v>
      </c>
    </row>
    <row r="169" spans="1:8">
      <c r="A169" t="s">
        <v>163</v>
      </c>
      <c r="B169">
        <v>52.736666666666665</v>
      </c>
      <c r="C169">
        <v>129.53</v>
      </c>
      <c r="D169" t="s">
        <v>66</v>
      </c>
      <c r="E169" t="s">
        <v>230</v>
      </c>
      <c r="F169" t="s">
        <v>229</v>
      </c>
      <c r="G169" t="s">
        <v>30</v>
      </c>
      <c r="H169">
        <v>1982</v>
      </c>
    </row>
    <row r="170" spans="1:8">
      <c r="A170" t="s">
        <v>166</v>
      </c>
      <c r="B170">
        <v>53.145000000000003</v>
      </c>
      <c r="C170">
        <v>130.04166666666666</v>
      </c>
      <c r="D170" t="s">
        <v>66</v>
      </c>
      <c r="E170" t="s">
        <v>230</v>
      </c>
      <c r="F170" t="s">
        <v>229</v>
      </c>
      <c r="G170">
        <v>36</v>
      </c>
      <c r="H170">
        <v>1982</v>
      </c>
    </row>
    <row r="171" spans="1:8">
      <c r="A171" t="s">
        <v>170</v>
      </c>
      <c r="B171">
        <v>53.255000000000003</v>
      </c>
      <c r="C171">
        <v>130.34166666666667</v>
      </c>
      <c r="D171" t="s">
        <v>103</v>
      </c>
      <c r="E171" t="s">
        <v>230</v>
      </c>
      <c r="F171" t="s">
        <v>229</v>
      </c>
      <c r="G171">
        <v>45</v>
      </c>
      <c r="H171">
        <v>1982</v>
      </c>
    </row>
    <row r="172" spans="1:8">
      <c r="A172" t="s">
        <v>176</v>
      </c>
      <c r="B172">
        <v>54.064999999999998</v>
      </c>
      <c r="C172">
        <v>130.85166666666666</v>
      </c>
      <c r="D172" t="s">
        <v>66</v>
      </c>
      <c r="E172" t="s">
        <v>230</v>
      </c>
      <c r="F172" t="s">
        <v>229</v>
      </c>
      <c r="G172">
        <v>0</v>
      </c>
      <c r="H172">
        <v>1982</v>
      </c>
    </row>
    <row r="173" spans="1:8">
      <c r="A173" t="s">
        <v>115</v>
      </c>
      <c r="B173">
        <v>50.94166666666667</v>
      </c>
      <c r="C173">
        <v>127.92</v>
      </c>
      <c r="D173" t="s">
        <v>51</v>
      </c>
      <c r="E173" t="s">
        <v>223</v>
      </c>
      <c r="F173" t="s">
        <v>227</v>
      </c>
      <c r="G173">
        <v>1</v>
      </c>
      <c r="H173">
        <v>1982</v>
      </c>
    </row>
    <row r="174" spans="1:8">
      <c r="A174" t="s">
        <v>118</v>
      </c>
      <c r="B174">
        <v>50.94166666666667</v>
      </c>
      <c r="C174">
        <v>127.65666666666667</v>
      </c>
      <c r="D174" t="s">
        <v>51</v>
      </c>
      <c r="E174" t="s">
        <v>223</v>
      </c>
      <c r="F174" t="s">
        <v>227</v>
      </c>
      <c r="G174">
        <v>0</v>
      </c>
      <c r="H174">
        <v>1982</v>
      </c>
    </row>
    <row r="175" spans="1:8">
      <c r="A175" t="s">
        <v>123</v>
      </c>
      <c r="B175">
        <v>50.74666666666667</v>
      </c>
      <c r="C175">
        <v>126.72166666666666</v>
      </c>
      <c r="D175" t="s">
        <v>66</v>
      </c>
      <c r="E175" t="s">
        <v>223</v>
      </c>
      <c r="F175" t="s">
        <v>227</v>
      </c>
      <c r="G175">
        <v>0</v>
      </c>
      <c r="H175">
        <v>1982</v>
      </c>
    </row>
    <row r="176" spans="1:8">
      <c r="A176" t="s">
        <v>120</v>
      </c>
      <c r="B176">
        <v>50.91</v>
      </c>
      <c r="C176">
        <v>127.44166666666666</v>
      </c>
      <c r="D176" t="s">
        <v>51</v>
      </c>
      <c r="E176" t="s">
        <v>223</v>
      </c>
      <c r="F176" t="s">
        <v>227</v>
      </c>
      <c r="G176">
        <v>0</v>
      </c>
      <c r="H176">
        <v>1982</v>
      </c>
    </row>
    <row r="177" spans="1:8">
      <c r="A177" t="s">
        <v>104</v>
      </c>
      <c r="B177">
        <v>50.791666666666664</v>
      </c>
      <c r="C177">
        <v>128.77000000000001</v>
      </c>
      <c r="D177" t="s">
        <v>66</v>
      </c>
      <c r="E177" t="s">
        <v>222</v>
      </c>
      <c r="F177" t="s">
        <v>227</v>
      </c>
      <c r="G177">
        <v>100</v>
      </c>
      <c r="H177">
        <v>1982</v>
      </c>
    </row>
    <row r="178" spans="1:8">
      <c r="A178" t="s">
        <v>100</v>
      </c>
      <c r="B178">
        <v>50.801666666666669</v>
      </c>
      <c r="C178">
        <v>128.78</v>
      </c>
      <c r="D178" t="s">
        <v>103</v>
      </c>
      <c r="E178" t="s">
        <v>222</v>
      </c>
      <c r="F178" t="s">
        <v>227</v>
      </c>
      <c r="G178">
        <v>442</v>
      </c>
      <c r="H178">
        <v>1982</v>
      </c>
    </row>
    <row r="179" spans="1:8">
      <c r="A179" t="s">
        <v>107</v>
      </c>
      <c r="B179">
        <v>50.82</v>
      </c>
      <c r="C179">
        <v>128.90333333333334</v>
      </c>
      <c r="D179" t="s">
        <v>103</v>
      </c>
      <c r="E179" t="s">
        <v>222</v>
      </c>
      <c r="F179" t="s">
        <v>227</v>
      </c>
      <c r="G179">
        <v>806</v>
      </c>
      <c r="H179">
        <v>1982</v>
      </c>
    </row>
    <row r="180" spans="1:8">
      <c r="A180" t="s">
        <v>110</v>
      </c>
      <c r="B180">
        <v>50.87166666666667</v>
      </c>
      <c r="C180">
        <v>129.07666666666665</v>
      </c>
      <c r="D180" t="s">
        <v>103</v>
      </c>
      <c r="E180" t="s">
        <v>222</v>
      </c>
      <c r="F180" t="s">
        <v>227</v>
      </c>
      <c r="G180">
        <v>376</v>
      </c>
      <c r="H180">
        <v>1982</v>
      </c>
    </row>
    <row r="181" spans="1:8">
      <c r="A181" t="s">
        <v>82</v>
      </c>
      <c r="B181">
        <v>50.011666666666663</v>
      </c>
      <c r="C181">
        <v>127.52666666666667</v>
      </c>
      <c r="D181" t="s">
        <v>66</v>
      </c>
      <c r="E181" t="s">
        <v>128</v>
      </c>
      <c r="F181" t="s">
        <v>227</v>
      </c>
      <c r="G181">
        <v>153</v>
      </c>
      <c r="H181">
        <v>1982</v>
      </c>
    </row>
    <row r="182" spans="1:8">
      <c r="A182" t="s">
        <v>94</v>
      </c>
      <c r="B182">
        <v>50.784999999999997</v>
      </c>
      <c r="C182">
        <v>128.41999999999999</v>
      </c>
      <c r="D182" t="s">
        <v>78</v>
      </c>
      <c r="E182" t="s">
        <v>128</v>
      </c>
      <c r="F182" t="s">
        <v>227</v>
      </c>
      <c r="G182">
        <v>0</v>
      </c>
      <c r="H182">
        <v>1982</v>
      </c>
    </row>
    <row r="183" spans="1:8">
      <c r="A183" t="s">
        <v>46</v>
      </c>
      <c r="B183">
        <v>48.615000000000002</v>
      </c>
      <c r="C183">
        <v>124.76166666666667</v>
      </c>
      <c r="D183" t="s">
        <v>51</v>
      </c>
      <c r="E183" t="s">
        <v>128</v>
      </c>
      <c r="F183" t="s">
        <v>227</v>
      </c>
      <c r="G183">
        <v>170</v>
      </c>
      <c r="H183">
        <v>1982</v>
      </c>
    </row>
    <row r="184" spans="1:8">
      <c r="A184" t="s">
        <v>67</v>
      </c>
      <c r="B184">
        <v>49.171666666666667</v>
      </c>
      <c r="C184">
        <v>125.09166666666667</v>
      </c>
      <c r="D184" t="s">
        <v>66</v>
      </c>
      <c r="E184" t="s">
        <v>128</v>
      </c>
      <c r="F184" t="s">
        <v>227</v>
      </c>
      <c r="G184">
        <v>0</v>
      </c>
      <c r="H184">
        <v>1982</v>
      </c>
    </row>
    <row r="185" spans="1:8">
      <c r="A185" t="s">
        <v>79</v>
      </c>
      <c r="B185">
        <v>49.743333333333332</v>
      </c>
      <c r="C185">
        <v>126.97833333333334</v>
      </c>
      <c r="D185" t="s">
        <v>51</v>
      </c>
      <c r="E185" t="s">
        <v>128</v>
      </c>
      <c r="F185" t="s">
        <v>227</v>
      </c>
      <c r="G185">
        <v>0</v>
      </c>
      <c r="H185">
        <v>1982</v>
      </c>
    </row>
    <row r="186" spans="1:8">
      <c r="A186" t="s">
        <v>62</v>
      </c>
      <c r="B186">
        <v>49.038333333333334</v>
      </c>
      <c r="C186">
        <v>125.71833333333333</v>
      </c>
      <c r="D186" t="s">
        <v>66</v>
      </c>
      <c r="E186" t="s">
        <v>128</v>
      </c>
      <c r="F186" t="s">
        <v>227</v>
      </c>
      <c r="G186">
        <v>262</v>
      </c>
      <c r="H186">
        <v>1982</v>
      </c>
    </row>
    <row r="187" spans="1:8">
      <c r="A187" t="s">
        <v>59</v>
      </c>
      <c r="B187">
        <v>48.875</v>
      </c>
      <c r="C187">
        <v>125.47833333333334</v>
      </c>
      <c r="D187" t="s">
        <v>51</v>
      </c>
      <c r="E187" t="s">
        <v>128</v>
      </c>
      <c r="F187" t="s">
        <v>227</v>
      </c>
      <c r="G187">
        <v>3</v>
      </c>
      <c r="H187">
        <v>1982</v>
      </c>
    </row>
    <row r="188" spans="1:8">
      <c r="A188" t="s">
        <v>87</v>
      </c>
      <c r="B188">
        <v>50.101666666666667</v>
      </c>
      <c r="C188">
        <v>127.64666666666666</v>
      </c>
      <c r="D188" t="s">
        <v>90</v>
      </c>
      <c r="E188" t="s">
        <v>128</v>
      </c>
      <c r="F188" t="s">
        <v>227</v>
      </c>
      <c r="G188">
        <v>85</v>
      </c>
      <c r="H188">
        <v>1982</v>
      </c>
    </row>
    <row r="189" spans="1:8">
      <c r="A189" t="s">
        <v>52</v>
      </c>
      <c r="B189">
        <v>48.723333333333336</v>
      </c>
      <c r="C189">
        <v>125.105</v>
      </c>
      <c r="D189" t="s">
        <v>51</v>
      </c>
      <c r="E189" t="s">
        <v>128</v>
      </c>
      <c r="F189" t="s">
        <v>227</v>
      </c>
      <c r="G189">
        <v>0</v>
      </c>
      <c r="H189">
        <v>1982</v>
      </c>
    </row>
    <row r="190" spans="1:8">
      <c r="A190" t="s">
        <v>71</v>
      </c>
      <c r="B190">
        <v>49.403333333333336</v>
      </c>
      <c r="C190">
        <v>126.58333333333333</v>
      </c>
      <c r="D190" t="s">
        <v>66</v>
      </c>
      <c r="E190" t="s">
        <v>128</v>
      </c>
      <c r="F190" t="s">
        <v>227</v>
      </c>
      <c r="G190">
        <v>0</v>
      </c>
      <c r="H190">
        <v>1982</v>
      </c>
    </row>
    <row r="191" spans="1:8">
      <c r="A191" t="s">
        <v>75</v>
      </c>
      <c r="B191">
        <v>49.30833333333333</v>
      </c>
      <c r="C191">
        <v>126.22833333333334</v>
      </c>
      <c r="D191" t="s">
        <v>78</v>
      </c>
      <c r="E191" t="s">
        <v>128</v>
      </c>
      <c r="F191" t="s">
        <v>227</v>
      </c>
      <c r="G191">
        <v>0</v>
      </c>
      <c r="H191">
        <v>1982</v>
      </c>
    </row>
    <row r="192" spans="1:8">
      <c r="A192" t="s">
        <v>91</v>
      </c>
      <c r="B192">
        <v>50.111666666666665</v>
      </c>
      <c r="C192">
        <v>127.94</v>
      </c>
      <c r="D192" t="s">
        <v>51</v>
      </c>
      <c r="E192" t="s">
        <v>128</v>
      </c>
      <c r="F192" t="s">
        <v>227</v>
      </c>
      <c r="G192">
        <v>0</v>
      </c>
      <c r="H192">
        <v>1982</v>
      </c>
    </row>
    <row r="193" spans="1:8">
      <c r="A193" t="s">
        <v>56</v>
      </c>
      <c r="B193">
        <v>48.86333333333333</v>
      </c>
      <c r="C193">
        <v>125.35833333333333</v>
      </c>
      <c r="D193" t="s">
        <v>51</v>
      </c>
      <c r="E193" t="s">
        <v>128</v>
      </c>
      <c r="F193" t="s">
        <v>227</v>
      </c>
      <c r="G193">
        <v>0</v>
      </c>
      <c r="H193">
        <v>1982</v>
      </c>
    </row>
    <row r="194" spans="1:8" ht="15">
      <c r="A194" t="s">
        <v>157</v>
      </c>
      <c r="B194">
        <v>53.05</v>
      </c>
      <c r="C194">
        <v>129.21166666666667</v>
      </c>
      <c r="D194" t="s">
        <v>66</v>
      </c>
      <c r="E194" t="s">
        <v>228</v>
      </c>
      <c r="F194" t="s">
        <v>229</v>
      </c>
      <c r="G194" s="44">
        <v>-13</v>
      </c>
      <c r="H194">
        <v>1987</v>
      </c>
    </row>
    <row r="195" spans="1:8">
      <c r="A195" t="s">
        <v>145</v>
      </c>
      <c r="B195">
        <v>51.80833333333333</v>
      </c>
      <c r="C195">
        <v>128.25333333333333</v>
      </c>
      <c r="D195" t="s">
        <v>66</v>
      </c>
      <c r="E195" t="s">
        <v>228</v>
      </c>
      <c r="F195" t="s">
        <v>229</v>
      </c>
      <c r="G195">
        <v>0</v>
      </c>
      <c r="H195">
        <v>1987</v>
      </c>
    </row>
    <row r="196" spans="1:8">
      <c r="A196" t="s">
        <v>148</v>
      </c>
      <c r="B196">
        <v>51.868333333333332</v>
      </c>
      <c r="C196">
        <v>128.46</v>
      </c>
      <c r="D196" t="s">
        <v>103</v>
      </c>
      <c r="E196" t="s">
        <v>228</v>
      </c>
      <c r="F196" t="s">
        <v>229</v>
      </c>
      <c r="G196">
        <v>135</v>
      </c>
      <c r="H196">
        <v>1987</v>
      </c>
    </row>
    <row r="197" spans="1:8">
      <c r="A197" t="s">
        <v>151</v>
      </c>
      <c r="B197">
        <v>52.263333333333335</v>
      </c>
      <c r="C197">
        <v>128.72166666666666</v>
      </c>
      <c r="D197" t="s">
        <v>66</v>
      </c>
      <c r="E197" t="s">
        <v>228</v>
      </c>
      <c r="F197" t="s">
        <v>229</v>
      </c>
      <c r="G197">
        <v>0</v>
      </c>
      <c r="H197">
        <v>1987</v>
      </c>
    </row>
    <row r="198" spans="1:8">
      <c r="A198" t="s">
        <v>142</v>
      </c>
      <c r="B198">
        <v>51.363333333333337</v>
      </c>
      <c r="C198">
        <v>128.00166666666667</v>
      </c>
      <c r="D198" t="s">
        <v>66</v>
      </c>
      <c r="E198" t="s">
        <v>228</v>
      </c>
      <c r="F198" t="s">
        <v>229</v>
      </c>
      <c r="G198">
        <v>128</v>
      </c>
      <c r="H198">
        <v>1987</v>
      </c>
    </row>
    <row r="199" spans="1:8">
      <c r="A199" t="s">
        <v>154</v>
      </c>
      <c r="B199">
        <v>52.463333333333331</v>
      </c>
      <c r="C199">
        <v>129.37166666666667</v>
      </c>
      <c r="D199" t="s">
        <v>66</v>
      </c>
      <c r="E199" t="s">
        <v>228</v>
      </c>
      <c r="F199" t="s">
        <v>229</v>
      </c>
      <c r="G199">
        <v>7</v>
      </c>
      <c r="H199">
        <v>1987</v>
      </c>
    </row>
    <row r="200" spans="1:8">
      <c r="A200" t="s">
        <v>138</v>
      </c>
      <c r="B200">
        <v>51.28</v>
      </c>
      <c r="C200">
        <v>128.20333333333335</v>
      </c>
      <c r="D200" t="s">
        <v>103</v>
      </c>
      <c r="E200" t="s">
        <v>228</v>
      </c>
      <c r="F200" t="s">
        <v>229</v>
      </c>
      <c r="G200">
        <v>229</v>
      </c>
      <c r="H200">
        <v>1987</v>
      </c>
    </row>
    <row r="201" spans="1:8">
      <c r="A201" t="s">
        <v>26</v>
      </c>
      <c r="B201">
        <v>52.103333333333332</v>
      </c>
      <c r="C201">
        <v>131.24</v>
      </c>
      <c r="D201" t="s">
        <v>66</v>
      </c>
      <c r="E201" t="s">
        <v>231</v>
      </c>
      <c r="F201" t="s">
        <v>229</v>
      </c>
      <c r="G201">
        <v>44</v>
      </c>
      <c r="H201">
        <v>1987</v>
      </c>
    </row>
    <row r="202" spans="1:8">
      <c r="A202" t="s">
        <v>19</v>
      </c>
      <c r="B202">
        <v>51.911666666666669</v>
      </c>
      <c r="C202">
        <v>130.98166666666665</v>
      </c>
      <c r="D202" t="s">
        <v>103</v>
      </c>
      <c r="E202" t="s">
        <v>231</v>
      </c>
      <c r="F202" t="s">
        <v>229</v>
      </c>
      <c r="G202">
        <v>1021</v>
      </c>
      <c r="H202">
        <v>1987</v>
      </c>
    </row>
    <row r="203" spans="1:8">
      <c r="A203" t="s">
        <v>23</v>
      </c>
      <c r="B203">
        <v>53.376666666666665</v>
      </c>
      <c r="C203">
        <v>132.72166666666666</v>
      </c>
      <c r="D203" t="s">
        <v>51</v>
      </c>
      <c r="E203" t="s">
        <v>231</v>
      </c>
      <c r="F203" t="s">
        <v>229</v>
      </c>
      <c r="G203">
        <v>0</v>
      </c>
      <c r="H203">
        <v>1987</v>
      </c>
    </row>
    <row r="204" spans="1:8">
      <c r="A204" t="s">
        <v>215</v>
      </c>
      <c r="B204">
        <v>52.213333333333331</v>
      </c>
      <c r="C204">
        <v>130.96</v>
      </c>
      <c r="D204" t="s">
        <v>103</v>
      </c>
      <c r="E204" t="s">
        <v>231</v>
      </c>
      <c r="F204" t="s">
        <v>229</v>
      </c>
      <c r="G204" t="s">
        <v>30</v>
      </c>
      <c r="H204">
        <v>1987</v>
      </c>
    </row>
    <row r="205" spans="1:8">
      <c r="A205" t="s">
        <v>207</v>
      </c>
      <c r="B205">
        <v>53.813333333333333</v>
      </c>
      <c r="C205">
        <v>133.13333333333333</v>
      </c>
      <c r="D205" t="s">
        <v>66</v>
      </c>
      <c r="E205" t="s">
        <v>231</v>
      </c>
      <c r="F205" t="s">
        <v>229</v>
      </c>
      <c r="G205">
        <v>309</v>
      </c>
      <c r="H205">
        <v>1987</v>
      </c>
    </row>
    <row r="206" spans="1:8">
      <c r="A206" t="s">
        <v>190</v>
      </c>
      <c r="B206">
        <v>52.336666666666666</v>
      </c>
      <c r="C206">
        <v>131.13166666666666</v>
      </c>
      <c r="D206" t="s">
        <v>66</v>
      </c>
      <c r="E206" t="s">
        <v>231</v>
      </c>
      <c r="F206" t="s">
        <v>229</v>
      </c>
      <c r="G206" t="s">
        <v>30</v>
      </c>
      <c r="H206">
        <v>1987</v>
      </c>
    </row>
    <row r="207" spans="1:8">
      <c r="A207" t="s">
        <v>25</v>
      </c>
      <c r="B207">
        <v>54.26</v>
      </c>
      <c r="C207">
        <v>133.01499999999999</v>
      </c>
      <c r="D207" t="s">
        <v>51</v>
      </c>
      <c r="E207" t="s">
        <v>231</v>
      </c>
      <c r="F207" t="s">
        <v>229</v>
      </c>
      <c r="G207">
        <v>3</v>
      </c>
      <c r="H207">
        <v>1987</v>
      </c>
    </row>
    <row r="208" spans="1:8">
      <c r="A208" t="s">
        <v>203</v>
      </c>
      <c r="B208">
        <v>53.204999999999998</v>
      </c>
      <c r="C208">
        <v>132.65166666666667</v>
      </c>
      <c r="D208" t="s">
        <v>66</v>
      </c>
      <c r="E208" t="s">
        <v>231</v>
      </c>
      <c r="F208" t="s">
        <v>229</v>
      </c>
      <c r="G208">
        <v>0</v>
      </c>
      <c r="H208">
        <v>1987</v>
      </c>
    </row>
    <row r="209" spans="1:8">
      <c r="A209" t="s">
        <v>21</v>
      </c>
      <c r="B209">
        <v>52.973333333333336</v>
      </c>
      <c r="C209">
        <v>132.36000000000001</v>
      </c>
      <c r="D209" t="s">
        <v>78</v>
      </c>
      <c r="E209" t="s">
        <v>231</v>
      </c>
      <c r="F209" t="s">
        <v>229</v>
      </c>
      <c r="G209">
        <v>0</v>
      </c>
      <c r="H209">
        <v>1987</v>
      </c>
    </row>
    <row r="210" spans="1:8">
      <c r="A210" t="s">
        <v>14</v>
      </c>
      <c r="B210">
        <v>52.87166666666667</v>
      </c>
      <c r="C210">
        <v>131.48500000000001</v>
      </c>
      <c r="D210" t="s">
        <v>66</v>
      </c>
      <c r="E210" t="s">
        <v>231</v>
      </c>
      <c r="F210" t="s">
        <v>229</v>
      </c>
      <c r="G210">
        <v>482</v>
      </c>
      <c r="H210">
        <v>1987</v>
      </c>
    </row>
    <row r="211" spans="1:8">
      <c r="A211" t="s">
        <v>13</v>
      </c>
      <c r="B211">
        <v>54.211666666666666</v>
      </c>
      <c r="C211">
        <v>131.61333333333334</v>
      </c>
      <c r="D211" t="s">
        <v>66</v>
      </c>
      <c r="E211" t="s">
        <v>231</v>
      </c>
      <c r="F211" t="s">
        <v>229</v>
      </c>
      <c r="G211" t="s">
        <v>30</v>
      </c>
      <c r="H211">
        <v>1987</v>
      </c>
    </row>
    <row r="212" spans="1:8">
      <c r="A212" t="s">
        <v>20</v>
      </c>
      <c r="B212">
        <v>52.703333333333333</v>
      </c>
      <c r="C212">
        <v>132.07499999999999</v>
      </c>
      <c r="D212" t="s">
        <v>66</v>
      </c>
      <c r="E212" t="s">
        <v>231</v>
      </c>
      <c r="F212" t="s">
        <v>229</v>
      </c>
      <c r="G212">
        <v>263</v>
      </c>
      <c r="H212">
        <v>1987</v>
      </c>
    </row>
    <row r="213" spans="1:8">
      <c r="A213" t="s">
        <v>187</v>
      </c>
      <c r="B213">
        <v>52.953333333333333</v>
      </c>
      <c r="C213">
        <v>131.55166666666668</v>
      </c>
      <c r="D213" t="s">
        <v>78</v>
      </c>
      <c r="E213" t="s">
        <v>231</v>
      </c>
      <c r="F213" t="s">
        <v>229</v>
      </c>
      <c r="G213">
        <v>0</v>
      </c>
      <c r="H213">
        <v>1987</v>
      </c>
    </row>
    <row r="214" spans="1:8">
      <c r="A214" t="s">
        <v>193</v>
      </c>
      <c r="B214">
        <v>52.543333333333337</v>
      </c>
      <c r="C214">
        <v>131.35666666666665</v>
      </c>
      <c r="D214" t="s">
        <v>66</v>
      </c>
      <c r="E214" t="s">
        <v>231</v>
      </c>
      <c r="F214" t="s">
        <v>229</v>
      </c>
      <c r="G214">
        <v>0</v>
      </c>
      <c r="H214">
        <v>1987</v>
      </c>
    </row>
    <row r="215" spans="1:8">
      <c r="A215" t="s">
        <v>173</v>
      </c>
      <c r="B215">
        <v>53.466666666666669</v>
      </c>
      <c r="C215">
        <v>130.61333333333334</v>
      </c>
      <c r="D215" t="s">
        <v>103</v>
      </c>
      <c r="E215" t="s">
        <v>230</v>
      </c>
      <c r="F215" t="s">
        <v>229</v>
      </c>
      <c r="G215" t="s">
        <v>30</v>
      </c>
      <c r="H215">
        <v>1987</v>
      </c>
    </row>
    <row r="216" spans="1:8">
      <c r="A216" t="s">
        <v>180</v>
      </c>
      <c r="B216">
        <v>54.44166666666667</v>
      </c>
      <c r="C216">
        <v>130.98666666666668</v>
      </c>
      <c r="D216" t="s">
        <v>66</v>
      </c>
      <c r="E216" t="s">
        <v>230</v>
      </c>
      <c r="F216" t="s">
        <v>229</v>
      </c>
      <c r="G216">
        <v>1021</v>
      </c>
      <c r="H216">
        <v>1987</v>
      </c>
    </row>
    <row r="217" spans="1:8">
      <c r="A217" t="s">
        <v>163</v>
      </c>
      <c r="B217">
        <v>52.736666666666665</v>
      </c>
      <c r="C217">
        <v>129.53</v>
      </c>
      <c r="D217" t="s">
        <v>66</v>
      </c>
      <c r="E217" t="s">
        <v>230</v>
      </c>
      <c r="F217" t="s">
        <v>229</v>
      </c>
      <c r="G217" t="s">
        <v>30</v>
      </c>
      <c r="H217">
        <v>1987</v>
      </c>
    </row>
    <row r="218" spans="1:8">
      <c r="A218" t="s">
        <v>166</v>
      </c>
      <c r="B218">
        <v>53.145000000000003</v>
      </c>
      <c r="C218">
        <v>130.04166666666666</v>
      </c>
      <c r="D218" t="s">
        <v>66</v>
      </c>
      <c r="E218" t="s">
        <v>230</v>
      </c>
      <c r="F218" t="s">
        <v>229</v>
      </c>
      <c r="G218">
        <v>482</v>
      </c>
      <c r="H218">
        <v>1987</v>
      </c>
    </row>
    <row r="219" spans="1:8">
      <c r="A219" t="s">
        <v>170</v>
      </c>
      <c r="B219">
        <v>53.255000000000003</v>
      </c>
      <c r="C219">
        <v>130.34166666666667</v>
      </c>
      <c r="D219" t="s">
        <v>103</v>
      </c>
      <c r="E219" t="s">
        <v>230</v>
      </c>
      <c r="F219" t="s">
        <v>229</v>
      </c>
      <c r="G219">
        <v>0</v>
      </c>
      <c r="H219">
        <v>1987</v>
      </c>
    </row>
    <row r="220" spans="1:8">
      <c r="A220" t="s">
        <v>176</v>
      </c>
      <c r="B220">
        <v>54.064999999999998</v>
      </c>
      <c r="C220">
        <v>130.85166666666666</v>
      </c>
      <c r="D220" t="s">
        <v>66</v>
      </c>
      <c r="E220" t="s">
        <v>230</v>
      </c>
      <c r="F220" t="s">
        <v>229</v>
      </c>
      <c r="G220">
        <v>0</v>
      </c>
      <c r="H220">
        <v>1987</v>
      </c>
    </row>
    <row r="221" spans="1:8">
      <c r="A221" t="s">
        <v>115</v>
      </c>
      <c r="B221">
        <v>50.94166666666667</v>
      </c>
      <c r="C221">
        <v>127.92</v>
      </c>
      <c r="D221" t="s">
        <v>51</v>
      </c>
      <c r="E221" t="s">
        <v>223</v>
      </c>
      <c r="F221" t="s">
        <v>227</v>
      </c>
      <c r="G221">
        <v>210</v>
      </c>
      <c r="H221">
        <v>1987</v>
      </c>
    </row>
    <row r="222" spans="1:8">
      <c r="A222" t="s">
        <v>118</v>
      </c>
      <c r="B222">
        <v>50.94166666666667</v>
      </c>
      <c r="C222">
        <v>127.65666666666667</v>
      </c>
      <c r="D222" t="s">
        <v>51</v>
      </c>
      <c r="E222" t="s">
        <v>223</v>
      </c>
      <c r="F222" t="s">
        <v>227</v>
      </c>
      <c r="G222">
        <v>0</v>
      </c>
      <c r="H222">
        <v>1987</v>
      </c>
    </row>
    <row r="223" spans="1:8">
      <c r="A223" t="s">
        <v>123</v>
      </c>
      <c r="B223">
        <v>50.74666666666667</v>
      </c>
      <c r="C223">
        <v>126.72166666666666</v>
      </c>
      <c r="D223" t="s">
        <v>66</v>
      </c>
      <c r="E223" t="s">
        <v>223</v>
      </c>
      <c r="F223" t="s">
        <v>227</v>
      </c>
      <c r="G223">
        <v>0</v>
      </c>
      <c r="H223">
        <v>1987</v>
      </c>
    </row>
    <row r="224" spans="1:8">
      <c r="A224" t="s">
        <v>120</v>
      </c>
      <c r="B224">
        <v>50.91</v>
      </c>
      <c r="C224">
        <v>127.44166666666666</v>
      </c>
      <c r="D224" t="s">
        <v>51</v>
      </c>
      <c r="E224" t="s">
        <v>223</v>
      </c>
      <c r="F224" t="s">
        <v>227</v>
      </c>
      <c r="G224">
        <v>0</v>
      </c>
      <c r="H224">
        <v>1987</v>
      </c>
    </row>
    <row r="225" spans="1:8">
      <c r="A225" t="s">
        <v>104</v>
      </c>
      <c r="B225">
        <v>50.791666666666664</v>
      </c>
      <c r="C225">
        <v>128.77000000000001</v>
      </c>
      <c r="D225" t="s">
        <v>66</v>
      </c>
      <c r="E225" t="s">
        <v>222</v>
      </c>
      <c r="F225" t="s">
        <v>227</v>
      </c>
      <c r="G225">
        <v>124</v>
      </c>
      <c r="H225">
        <v>1987</v>
      </c>
    </row>
    <row r="226" spans="1:8">
      <c r="A226" t="s">
        <v>100</v>
      </c>
      <c r="B226">
        <v>50.801666666666669</v>
      </c>
      <c r="C226">
        <v>128.78</v>
      </c>
      <c r="D226" t="s">
        <v>103</v>
      </c>
      <c r="E226" t="s">
        <v>222</v>
      </c>
      <c r="F226" t="s">
        <v>227</v>
      </c>
      <c r="G226">
        <v>550</v>
      </c>
      <c r="H226">
        <v>1987</v>
      </c>
    </row>
    <row r="227" spans="1:8">
      <c r="A227" t="s">
        <v>107</v>
      </c>
      <c r="B227">
        <v>50.82</v>
      </c>
      <c r="C227">
        <v>128.90333333333334</v>
      </c>
      <c r="D227" t="s">
        <v>103</v>
      </c>
      <c r="E227" t="s">
        <v>222</v>
      </c>
      <c r="F227" t="s">
        <v>227</v>
      </c>
      <c r="G227">
        <v>600</v>
      </c>
      <c r="H227">
        <v>1987</v>
      </c>
    </row>
    <row r="228" spans="1:8">
      <c r="A228" t="s">
        <v>110</v>
      </c>
      <c r="B228">
        <v>50.87166666666667</v>
      </c>
      <c r="C228">
        <v>129.07666666666665</v>
      </c>
      <c r="D228" t="s">
        <v>103</v>
      </c>
      <c r="E228" t="s">
        <v>222</v>
      </c>
      <c r="F228" t="s">
        <v>227</v>
      </c>
      <c r="G228">
        <v>1057</v>
      </c>
      <c r="H228">
        <v>1987</v>
      </c>
    </row>
    <row r="229" spans="1:8">
      <c r="A229" t="s">
        <v>82</v>
      </c>
      <c r="B229">
        <v>50.011666666666663</v>
      </c>
      <c r="C229">
        <v>127.52666666666667</v>
      </c>
      <c r="D229" t="s">
        <v>66</v>
      </c>
      <c r="E229" t="s">
        <v>128</v>
      </c>
      <c r="F229" t="s">
        <v>227</v>
      </c>
      <c r="G229">
        <v>149</v>
      </c>
      <c r="H229">
        <v>1987</v>
      </c>
    </row>
    <row r="230" spans="1:8">
      <c r="A230" t="s">
        <v>94</v>
      </c>
      <c r="B230">
        <v>50.784999999999997</v>
      </c>
      <c r="C230">
        <v>128.41999999999999</v>
      </c>
      <c r="D230" t="s">
        <v>78</v>
      </c>
      <c r="E230" t="s">
        <v>128</v>
      </c>
      <c r="F230" t="s">
        <v>227</v>
      </c>
      <c r="G230">
        <v>1</v>
      </c>
      <c r="H230">
        <v>1987</v>
      </c>
    </row>
    <row r="231" spans="1:8">
      <c r="A231" t="s">
        <v>46</v>
      </c>
      <c r="B231">
        <v>48.615000000000002</v>
      </c>
      <c r="C231">
        <v>124.76166666666667</v>
      </c>
      <c r="D231" t="s">
        <v>51</v>
      </c>
      <c r="E231" t="s">
        <v>128</v>
      </c>
      <c r="F231" t="s">
        <v>227</v>
      </c>
      <c r="G231">
        <v>146</v>
      </c>
      <c r="H231">
        <v>1987</v>
      </c>
    </row>
    <row r="232" spans="1:8">
      <c r="A232" t="s">
        <v>67</v>
      </c>
      <c r="B232">
        <v>49.171666666666667</v>
      </c>
      <c r="C232">
        <v>125.09166666666667</v>
      </c>
      <c r="D232" t="s">
        <v>66</v>
      </c>
      <c r="E232" t="s">
        <v>128</v>
      </c>
      <c r="F232" t="s">
        <v>227</v>
      </c>
      <c r="G232">
        <v>0</v>
      </c>
      <c r="H232">
        <v>1987</v>
      </c>
    </row>
    <row r="233" spans="1:8">
      <c r="A233" t="s">
        <v>79</v>
      </c>
      <c r="B233">
        <v>49.743333333333332</v>
      </c>
      <c r="C233">
        <v>126.97833333333334</v>
      </c>
      <c r="D233" t="s">
        <v>51</v>
      </c>
      <c r="E233" t="s">
        <v>128</v>
      </c>
      <c r="F233" t="s">
        <v>227</v>
      </c>
      <c r="G233">
        <v>0</v>
      </c>
      <c r="H233">
        <v>1987</v>
      </c>
    </row>
    <row r="234" spans="1:8">
      <c r="A234" t="s">
        <v>62</v>
      </c>
      <c r="B234">
        <v>49.038333333333334</v>
      </c>
      <c r="C234">
        <v>125.71833333333333</v>
      </c>
      <c r="D234" t="s">
        <v>66</v>
      </c>
      <c r="E234" t="s">
        <v>128</v>
      </c>
      <c r="F234" t="s">
        <v>227</v>
      </c>
      <c r="G234">
        <v>231</v>
      </c>
      <c r="H234">
        <v>1987</v>
      </c>
    </row>
    <row r="235" spans="1:8">
      <c r="A235" t="s">
        <v>59</v>
      </c>
      <c r="B235">
        <v>48.875</v>
      </c>
      <c r="C235">
        <v>125.47833333333334</v>
      </c>
      <c r="D235" t="s">
        <v>51</v>
      </c>
      <c r="E235" t="s">
        <v>128</v>
      </c>
      <c r="F235" t="s">
        <v>227</v>
      </c>
      <c r="G235">
        <v>0</v>
      </c>
      <c r="H235">
        <v>1987</v>
      </c>
    </row>
    <row r="236" spans="1:8">
      <c r="A236" t="s">
        <v>87</v>
      </c>
      <c r="B236">
        <v>50.101666666666667</v>
      </c>
      <c r="C236">
        <v>127.64666666666666</v>
      </c>
      <c r="D236" t="s">
        <v>90</v>
      </c>
      <c r="E236" t="s">
        <v>128</v>
      </c>
      <c r="F236" t="s">
        <v>227</v>
      </c>
      <c r="G236">
        <v>60</v>
      </c>
      <c r="H236">
        <v>1987</v>
      </c>
    </row>
    <row r="237" spans="1:8">
      <c r="A237" t="s">
        <v>52</v>
      </c>
      <c r="B237">
        <v>48.723333333333336</v>
      </c>
      <c r="C237">
        <v>125.105</v>
      </c>
      <c r="D237" t="s">
        <v>51</v>
      </c>
      <c r="E237" t="s">
        <v>128</v>
      </c>
      <c r="F237" t="s">
        <v>227</v>
      </c>
      <c r="G237">
        <v>0</v>
      </c>
      <c r="H237">
        <v>1987</v>
      </c>
    </row>
    <row r="238" spans="1:8">
      <c r="A238" t="s">
        <v>71</v>
      </c>
      <c r="B238">
        <v>49.403333333333336</v>
      </c>
      <c r="C238">
        <v>126.58333333333333</v>
      </c>
      <c r="D238" t="s">
        <v>66</v>
      </c>
      <c r="E238" t="s">
        <v>128</v>
      </c>
      <c r="F238" t="s">
        <v>227</v>
      </c>
      <c r="G238">
        <v>0</v>
      </c>
      <c r="H238">
        <v>1987</v>
      </c>
    </row>
    <row r="239" spans="1:8">
      <c r="A239" t="s">
        <v>75</v>
      </c>
      <c r="B239">
        <v>49.30833333333333</v>
      </c>
      <c r="C239">
        <v>126.22833333333334</v>
      </c>
      <c r="D239" t="s">
        <v>78</v>
      </c>
      <c r="E239" t="s">
        <v>128</v>
      </c>
      <c r="F239" t="s">
        <v>227</v>
      </c>
      <c r="G239">
        <v>0</v>
      </c>
      <c r="H239">
        <v>1987</v>
      </c>
    </row>
    <row r="240" spans="1:8">
      <c r="A240" t="s">
        <v>91</v>
      </c>
      <c r="B240">
        <v>50.111666666666665</v>
      </c>
      <c r="C240">
        <v>127.94</v>
      </c>
      <c r="D240" t="s">
        <v>51</v>
      </c>
      <c r="E240" t="s">
        <v>128</v>
      </c>
      <c r="F240" t="s">
        <v>227</v>
      </c>
      <c r="G240">
        <v>0</v>
      </c>
      <c r="H240">
        <v>1987</v>
      </c>
    </row>
    <row r="241" spans="1:8">
      <c r="A241" t="s">
        <v>56</v>
      </c>
      <c r="B241">
        <v>48.86333333333333</v>
      </c>
      <c r="C241">
        <v>125.35833333333333</v>
      </c>
      <c r="D241" t="s">
        <v>51</v>
      </c>
      <c r="E241" t="s">
        <v>128</v>
      </c>
      <c r="F241" t="s">
        <v>227</v>
      </c>
      <c r="G241">
        <v>0</v>
      </c>
      <c r="H241">
        <v>1987</v>
      </c>
    </row>
    <row r="242" spans="1:8">
      <c r="A242" t="s">
        <v>157</v>
      </c>
      <c r="B242">
        <v>53.05</v>
      </c>
      <c r="C242">
        <v>129.21166666666667</v>
      </c>
      <c r="D242" t="s">
        <v>66</v>
      </c>
      <c r="E242" t="s">
        <v>228</v>
      </c>
      <c r="F242" t="s">
        <v>229</v>
      </c>
      <c r="G242">
        <v>25</v>
      </c>
      <c r="H242">
        <v>1992</v>
      </c>
    </row>
    <row r="243" spans="1:8">
      <c r="A243" t="s">
        <v>145</v>
      </c>
      <c r="B243">
        <v>51.80833333333333</v>
      </c>
      <c r="C243">
        <v>128.25333333333333</v>
      </c>
      <c r="D243" t="s">
        <v>66</v>
      </c>
      <c r="E243" t="s">
        <v>228</v>
      </c>
      <c r="F243" t="s">
        <v>229</v>
      </c>
      <c r="G243">
        <v>0</v>
      </c>
      <c r="H243">
        <v>1992</v>
      </c>
    </row>
    <row r="244" spans="1:8">
      <c r="A244" t="s">
        <v>148</v>
      </c>
      <c r="B244">
        <v>51.868333333333332</v>
      </c>
      <c r="C244">
        <v>128.46</v>
      </c>
      <c r="D244" t="s">
        <v>103</v>
      </c>
      <c r="E244" t="s">
        <v>228</v>
      </c>
      <c r="F244" t="s">
        <v>229</v>
      </c>
      <c r="G244">
        <v>72</v>
      </c>
      <c r="H244">
        <v>1992</v>
      </c>
    </row>
    <row r="245" spans="1:8">
      <c r="A245" t="s">
        <v>151</v>
      </c>
      <c r="B245">
        <v>52.263333333333335</v>
      </c>
      <c r="C245">
        <v>128.72166666666666</v>
      </c>
      <c r="D245" t="s">
        <v>66</v>
      </c>
      <c r="E245" t="s">
        <v>228</v>
      </c>
      <c r="F245" t="s">
        <v>229</v>
      </c>
      <c r="G245">
        <v>109</v>
      </c>
      <c r="H245">
        <v>1992</v>
      </c>
    </row>
    <row r="246" spans="1:8">
      <c r="A246" t="s">
        <v>142</v>
      </c>
      <c r="B246">
        <v>51.363333333333337</v>
      </c>
      <c r="C246">
        <v>128.00166666666667</v>
      </c>
      <c r="D246" t="s">
        <v>66</v>
      </c>
      <c r="E246" t="s">
        <v>228</v>
      </c>
      <c r="F246" t="s">
        <v>229</v>
      </c>
      <c r="G246">
        <v>126</v>
      </c>
      <c r="H246">
        <v>1992</v>
      </c>
    </row>
    <row r="247" spans="1:8">
      <c r="A247" t="s">
        <v>154</v>
      </c>
      <c r="B247">
        <v>52.463333333333331</v>
      </c>
      <c r="C247">
        <v>129.37166666666667</v>
      </c>
      <c r="D247" t="s">
        <v>66</v>
      </c>
      <c r="E247" t="s">
        <v>228</v>
      </c>
      <c r="F247" t="s">
        <v>229</v>
      </c>
      <c r="G247">
        <v>35</v>
      </c>
      <c r="H247">
        <v>1992</v>
      </c>
    </row>
    <row r="248" spans="1:8">
      <c r="A248" t="s">
        <v>138</v>
      </c>
      <c r="B248">
        <v>51.28</v>
      </c>
      <c r="C248">
        <v>128.20333333333335</v>
      </c>
      <c r="D248" t="s">
        <v>103</v>
      </c>
      <c r="E248" t="s">
        <v>228</v>
      </c>
      <c r="F248" t="s">
        <v>229</v>
      </c>
      <c r="G248">
        <v>157</v>
      </c>
      <c r="H248">
        <v>1992</v>
      </c>
    </row>
    <row r="249" spans="1:8">
      <c r="A249" t="s">
        <v>26</v>
      </c>
      <c r="B249">
        <v>52.103333333333332</v>
      </c>
      <c r="C249">
        <v>131.24</v>
      </c>
      <c r="D249" t="s">
        <v>66</v>
      </c>
      <c r="E249" t="s">
        <v>231</v>
      </c>
      <c r="F249" t="s">
        <v>229</v>
      </c>
      <c r="G249">
        <v>279</v>
      </c>
      <c r="H249">
        <v>1992</v>
      </c>
    </row>
    <row r="250" spans="1:8">
      <c r="A250" t="s">
        <v>19</v>
      </c>
      <c r="B250">
        <v>51.911666666666669</v>
      </c>
      <c r="C250">
        <v>130.98166666666665</v>
      </c>
      <c r="D250" t="s">
        <v>103</v>
      </c>
      <c r="E250" t="s">
        <v>231</v>
      </c>
      <c r="F250" t="s">
        <v>229</v>
      </c>
      <c r="G250">
        <v>867</v>
      </c>
      <c r="H250">
        <v>1992</v>
      </c>
    </row>
    <row r="251" spans="1:8">
      <c r="A251" t="s">
        <v>23</v>
      </c>
      <c r="B251">
        <v>53.376666666666665</v>
      </c>
      <c r="C251">
        <v>132.72166666666666</v>
      </c>
      <c r="D251" t="s">
        <v>51</v>
      </c>
      <c r="E251" t="s">
        <v>231</v>
      </c>
      <c r="F251" t="s">
        <v>229</v>
      </c>
      <c r="G251">
        <v>70</v>
      </c>
      <c r="H251">
        <v>1992</v>
      </c>
    </row>
    <row r="252" spans="1:8">
      <c r="A252" t="s">
        <v>215</v>
      </c>
      <c r="B252">
        <v>52.213333333333331</v>
      </c>
      <c r="C252">
        <v>130.96</v>
      </c>
      <c r="D252" t="s">
        <v>103</v>
      </c>
      <c r="E252" t="s">
        <v>231</v>
      </c>
      <c r="F252" t="s">
        <v>229</v>
      </c>
      <c r="G252" t="s">
        <v>30</v>
      </c>
      <c r="H252">
        <v>1992</v>
      </c>
    </row>
    <row r="253" spans="1:8">
      <c r="A253" t="s">
        <v>207</v>
      </c>
      <c r="B253">
        <v>53.813333333333333</v>
      </c>
      <c r="C253">
        <v>133.13333333333333</v>
      </c>
      <c r="D253" t="s">
        <v>66</v>
      </c>
      <c r="E253" t="s">
        <v>231</v>
      </c>
      <c r="F253" t="s">
        <v>229</v>
      </c>
      <c r="G253">
        <v>327</v>
      </c>
      <c r="H253">
        <v>1992</v>
      </c>
    </row>
    <row r="254" spans="1:8">
      <c r="A254" t="s">
        <v>190</v>
      </c>
      <c r="B254">
        <v>52.336666666666666</v>
      </c>
      <c r="C254">
        <v>131.13166666666666</v>
      </c>
      <c r="D254" t="s">
        <v>66</v>
      </c>
      <c r="E254" t="s">
        <v>231</v>
      </c>
      <c r="F254" t="s">
        <v>229</v>
      </c>
      <c r="G254" t="s">
        <v>30</v>
      </c>
      <c r="H254">
        <v>1992</v>
      </c>
    </row>
    <row r="255" spans="1:8" ht="15">
      <c r="A255" t="s">
        <v>25</v>
      </c>
      <c r="B255">
        <v>54.26</v>
      </c>
      <c r="C255">
        <v>133.01499999999999</v>
      </c>
      <c r="D255" t="s">
        <v>51</v>
      </c>
      <c r="E255" t="s">
        <v>231</v>
      </c>
      <c r="F255" t="s">
        <v>229</v>
      </c>
      <c r="G255" s="44">
        <v>-2</v>
      </c>
      <c r="H255">
        <v>1992</v>
      </c>
    </row>
    <row r="256" spans="1:8">
      <c r="A256" t="s">
        <v>203</v>
      </c>
      <c r="B256">
        <v>53.204999999999998</v>
      </c>
      <c r="C256">
        <v>132.65166666666667</v>
      </c>
      <c r="D256" t="s">
        <v>66</v>
      </c>
      <c r="E256" t="s">
        <v>231</v>
      </c>
      <c r="F256" t="s">
        <v>229</v>
      </c>
      <c r="G256">
        <v>0</v>
      </c>
      <c r="H256">
        <v>1992</v>
      </c>
    </row>
    <row r="257" spans="1:8">
      <c r="A257" t="s">
        <v>21</v>
      </c>
      <c r="B257">
        <v>52.973333333333336</v>
      </c>
      <c r="C257">
        <v>132.36000000000001</v>
      </c>
      <c r="D257" t="s">
        <v>78</v>
      </c>
      <c r="E257" t="s">
        <v>231</v>
      </c>
      <c r="F257" t="s">
        <v>229</v>
      </c>
      <c r="G257">
        <v>3</v>
      </c>
      <c r="H257">
        <v>1992</v>
      </c>
    </row>
    <row r="258" spans="1:8">
      <c r="A258" t="s">
        <v>14</v>
      </c>
      <c r="B258">
        <v>52.87166666666667</v>
      </c>
      <c r="C258">
        <v>131.48500000000001</v>
      </c>
      <c r="D258" t="s">
        <v>66</v>
      </c>
      <c r="E258" t="s">
        <v>231</v>
      </c>
      <c r="F258" t="s">
        <v>229</v>
      </c>
      <c r="G258">
        <v>489</v>
      </c>
      <c r="H258">
        <v>1992</v>
      </c>
    </row>
    <row r="259" spans="1:8">
      <c r="A259" t="s">
        <v>13</v>
      </c>
      <c r="B259">
        <v>54.211666666666666</v>
      </c>
      <c r="C259">
        <v>131.61333333333334</v>
      </c>
      <c r="D259" t="s">
        <v>66</v>
      </c>
      <c r="E259" t="s">
        <v>231</v>
      </c>
      <c r="F259" t="s">
        <v>229</v>
      </c>
      <c r="G259" t="s">
        <v>30</v>
      </c>
      <c r="H259">
        <v>1992</v>
      </c>
    </row>
    <row r="260" spans="1:8">
      <c r="A260" t="s">
        <v>20</v>
      </c>
      <c r="B260">
        <v>52.703333333333333</v>
      </c>
      <c r="C260">
        <v>132.07499999999999</v>
      </c>
      <c r="D260" t="s">
        <v>66</v>
      </c>
      <c r="E260" t="s">
        <v>231</v>
      </c>
      <c r="F260" t="s">
        <v>229</v>
      </c>
      <c r="G260">
        <v>80</v>
      </c>
      <c r="H260">
        <v>1992</v>
      </c>
    </row>
    <row r="261" spans="1:8">
      <c r="A261" t="s">
        <v>187</v>
      </c>
      <c r="B261">
        <v>52.953333333333333</v>
      </c>
      <c r="C261">
        <v>131.55166666666668</v>
      </c>
      <c r="D261" t="s">
        <v>78</v>
      </c>
      <c r="E261" t="s">
        <v>231</v>
      </c>
      <c r="F261" t="s">
        <v>229</v>
      </c>
      <c r="G261">
        <v>0</v>
      </c>
      <c r="H261">
        <v>1992</v>
      </c>
    </row>
    <row r="262" spans="1:8">
      <c r="A262" t="s">
        <v>193</v>
      </c>
      <c r="B262">
        <v>52.543333333333337</v>
      </c>
      <c r="C262">
        <v>131.35666666666665</v>
      </c>
      <c r="D262" t="s">
        <v>66</v>
      </c>
      <c r="E262" t="s">
        <v>231</v>
      </c>
      <c r="F262" t="s">
        <v>229</v>
      </c>
      <c r="G262">
        <v>0</v>
      </c>
      <c r="H262">
        <v>1992</v>
      </c>
    </row>
    <row r="263" spans="1:8">
      <c r="A263" t="s">
        <v>173</v>
      </c>
      <c r="B263">
        <v>53.466666666666669</v>
      </c>
      <c r="C263">
        <v>130.61333333333334</v>
      </c>
      <c r="D263" t="s">
        <v>103</v>
      </c>
      <c r="E263" t="s">
        <v>230</v>
      </c>
      <c r="F263" t="s">
        <v>229</v>
      </c>
      <c r="G263" t="s">
        <v>30</v>
      </c>
      <c r="H263">
        <v>1992</v>
      </c>
    </row>
    <row r="264" spans="1:8">
      <c r="A264" t="s">
        <v>180</v>
      </c>
      <c r="B264">
        <v>54.44166666666667</v>
      </c>
      <c r="C264">
        <v>130.98666666666668</v>
      </c>
      <c r="D264" t="s">
        <v>66</v>
      </c>
      <c r="E264" t="s">
        <v>230</v>
      </c>
      <c r="F264" t="s">
        <v>229</v>
      </c>
      <c r="G264">
        <v>867</v>
      </c>
      <c r="H264">
        <v>1992</v>
      </c>
    </row>
    <row r="265" spans="1:8">
      <c r="A265" t="s">
        <v>163</v>
      </c>
      <c r="B265">
        <v>52.736666666666665</v>
      </c>
      <c r="C265">
        <v>129.53</v>
      </c>
      <c r="D265" t="s">
        <v>66</v>
      </c>
      <c r="E265" t="s">
        <v>230</v>
      </c>
      <c r="F265" t="s">
        <v>229</v>
      </c>
      <c r="G265" t="s">
        <v>30</v>
      </c>
      <c r="H265">
        <v>1992</v>
      </c>
    </row>
    <row r="266" spans="1:8">
      <c r="A266" t="s">
        <v>166</v>
      </c>
      <c r="B266">
        <v>53.145000000000003</v>
      </c>
      <c r="C266">
        <v>130.04166666666666</v>
      </c>
      <c r="D266" t="s">
        <v>66</v>
      </c>
      <c r="E266" t="s">
        <v>230</v>
      </c>
      <c r="F266" t="s">
        <v>229</v>
      </c>
      <c r="G266">
        <v>489</v>
      </c>
      <c r="H266">
        <v>1992</v>
      </c>
    </row>
    <row r="267" spans="1:8">
      <c r="A267" t="s">
        <v>170</v>
      </c>
      <c r="B267">
        <v>53.255000000000003</v>
      </c>
      <c r="C267">
        <v>130.34166666666667</v>
      </c>
      <c r="D267" t="s">
        <v>103</v>
      </c>
      <c r="E267" t="s">
        <v>230</v>
      </c>
      <c r="F267" t="s">
        <v>229</v>
      </c>
      <c r="G267">
        <v>0</v>
      </c>
      <c r="H267">
        <v>1992</v>
      </c>
    </row>
    <row r="268" spans="1:8">
      <c r="A268" t="s">
        <v>176</v>
      </c>
      <c r="B268">
        <v>54.064999999999998</v>
      </c>
      <c r="C268">
        <v>130.85166666666666</v>
      </c>
      <c r="D268" t="s">
        <v>66</v>
      </c>
      <c r="E268" t="s">
        <v>230</v>
      </c>
      <c r="F268" t="s">
        <v>229</v>
      </c>
      <c r="G268">
        <v>0</v>
      </c>
      <c r="H268">
        <v>1992</v>
      </c>
    </row>
    <row r="269" spans="1:8">
      <c r="A269" t="s">
        <v>115</v>
      </c>
      <c r="B269">
        <v>50.94166666666667</v>
      </c>
      <c r="C269">
        <v>127.92</v>
      </c>
      <c r="D269" t="s">
        <v>51</v>
      </c>
      <c r="E269" t="s">
        <v>223</v>
      </c>
      <c r="F269" t="s">
        <v>227</v>
      </c>
      <c r="G269">
        <v>3</v>
      </c>
      <c r="H269">
        <v>1992</v>
      </c>
    </row>
    <row r="270" spans="1:8">
      <c r="A270" t="s">
        <v>118</v>
      </c>
      <c r="B270">
        <v>50.94166666666667</v>
      </c>
      <c r="C270">
        <v>127.65666666666667</v>
      </c>
      <c r="D270" t="s">
        <v>51</v>
      </c>
      <c r="E270" t="s">
        <v>223</v>
      </c>
      <c r="F270" t="s">
        <v>227</v>
      </c>
      <c r="G270">
        <v>0</v>
      </c>
      <c r="H270">
        <v>1992</v>
      </c>
    </row>
    <row r="271" spans="1:8">
      <c r="A271" t="s">
        <v>123</v>
      </c>
      <c r="B271">
        <v>50.74666666666667</v>
      </c>
      <c r="C271">
        <v>126.72166666666666</v>
      </c>
      <c r="D271" t="s">
        <v>66</v>
      </c>
      <c r="E271" t="s">
        <v>223</v>
      </c>
      <c r="F271" t="s">
        <v>227</v>
      </c>
      <c r="G271">
        <v>0</v>
      </c>
      <c r="H271">
        <v>1992</v>
      </c>
    </row>
    <row r="272" spans="1:8">
      <c r="A272" t="s">
        <v>120</v>
      </c>
      <c r="B272">
        <v>50.91</v>
      </c>
      <c r="C272">
        <v>127.44166666666666</v>
      </c>
      <c r="D272" t="s">
        <v>51</v>
      </c>
      <c r="E272" t="s">
        <v>223</v>
      </c>
      <c r="F272" t="s">
        <v>227</v>
      </c>
      <c r="G272">
        <v>0</v>
      </c>
      <c r="H272">
        <v>1992</v>
      </c>
    </row>
    <row r="273" spans="1:8">
      <c r="A273" t="s">
        <v>104</v>
      </c>
      <c r="B273">
        <v>50.791666666666664</v>
      </c>
      <c r="C273">
        <v>128.77000000000001</v>
      </c>
      <c r="D273" t="s">
        <v>66</v>
      </c>
      <c r="E273" t="s">
        <v>222</v>
      </c>
      <c r="F273" t="s">
        <v>227</v>
      </c>
      <c r="G273">
        <v>164</v>
      </c>
      <c r="H273">
        <v>1992</v>
      </c>
    </row>
    <row r="274" spans="1:8">
      <c r="A274" t="s">
        <v>100</v>
      </c>
      <c r="B274">
        <v>50.801666666666669</v>
      </c>
      <c r="C274">
        <v>128.78</v>
      </c>
      <c r="D274" t="s">
        <v>103</v>
      </c>
      <c r="E274" t="s">
        <v>222</v>
      </c>
      <c r="F274" t="s">
        <v>227</v>
      </c>
      <c r="G274">
        <v>511</v>
      </c>
      <c r="H274">
        <v>1992</v>
      </c>
    </row>
    <row r="275" spans="1:8">
      <c r="A275" t="s">
        <v>107</v>
      </c>
      <c r="B275">
        <v>50.82</v>
      </c>
      <c r="C275">
        <v>128.90333333333334</v>
      </c>
      <c r="D275" t="s">
        <v>103</v>
      </c>
      <c r="E275" t="s">
        <v>222</v>
      </c>
      <c r="F275" t="s">
        <v>227</v>
      </c>
      <c r="G275">
        <v>575</v>
      </c>
      <c r="H275">
        <v>1992</v>
      </c>
    </row>
    <row r="276" spans="1:8">
      <c r="A276" t="s">
        <v>110</v>
      </c>
      <c r="B276">
        <v>50.87166666666667</v>
      </c>
      <c r="C276">
        <v>129.07666666666665</v>
      </c>
      <c r="D276" t="s">
        <v>103</v>
      </c>
      <c r="E276" t="s">
        <v>222</v>
      </c>
      <c r="F276" t="s">
        <v>227</v>
      </c>
      <c r="G276">
        <v>1603</v>
      </c>
      <c r="H276">
        <v>1992</v>
      </c>
    </row>
    <row r="277" spans="1:8">
      <c r="A277" t="s">
        <v>82</v>
      </c>
      <c r="B277">
        <v>50.011666666666663</v>
      </c>
      <c r="C277">
        <v>127.52666666666667</v>
      </c>
      <c r="D277" t="s">
        <v>66</v>
      </c>
      <c r="E277" t="s">
        <v>128</v>
      </c>
      <c r="F277" t="s">
        <v>227</v>
      </c>
      <c r="G277">
        <v>274</v>
      </c>
      <c r="H277">
        <v>1992</v>
      </c>
    </row>
    <row r="278" spans="1:8">
      <c r="A278" t="s">
        <v>94</v>
      </c>
      <c r="B278">
        <v>50.784999999999997</v>
      </c>
      <c r="C278">
        <v>128.41999999999999</v>
      </c>
      <c r="D278" t="s">
        <v>78</v>
      </c>
      <c r="E278" t="s">
        <v>128</v>
      </c>
      <c r="F278" t="s">
        <v>227</v>
      </c>
      <c r="G278">
        <v>42</v>
      </c>
      <c r="H278">
        <v>1992</v>
      </c>
    </row>
    <row r="279" spans="1:8">
      <c r="A279" t="s">
        <v>46</v>
      </c>
      <c r="B279">
        <v>48.615000000000002</v>
      </c>
      <c r="C279">
        <v>124.76166666666667</v>
      </c>
      <c r="D279" t="s">
        <v>51</v>
      </c>
      <c r="E279" t="s">
        <v>128</v>
      </c>
      <c r="F279" t="s">
        <v>227</v>
      </c>
      <c r="G279">
        <v>103</v>
      </c>
      <c r="H279">
        <v>1992</v>
      </c>
    </row>
    <row r="280" spans="1:8">
      <c r="A280" t="s">
        <v>67</v>
      </c>
      <c r="B280">
        <v>49.171666666666667</v>
      </c>
      <c r="C280">
        <v>125.09166666666667</v>
      </c>
      <c r="D280" t="s">
        <v>66</v>
      </c>
      <c r="E280" t="s">
        <v>128</v>
      </c>
      <c r="F280" t="s">
        <v>227</v>
      </c>
      <c r="G280">
        <v>0</v>
      </c>
      <c r="H280">
        <v>1992</v>
      </c>
    </row>
    <row r="281" spans="1:8">
      <c r="A281" t="s">
        <v>79</v>
      </c>
      <c r="B281">
        <v>49.743333333333332</v>
      </c>
      <c r="C281">
        <v>126.97833333333334</v>
      </c>
      <c r="D281" t="s">
        <v>51</v>
      </c>
      <c r="E281" t="s">
        <v>128</v>
      </c>
      <c r="F281" t="s">
        <v>227</v>
      </c>
      <c r="G281">
        <v>0</v>
      </c>
      <c r="H281">
        <v>1992</v>
      </c>
    </row>
    <row r="282" spans="1:8">
      <c r="A282" t="s">
        <v>62</v>
      </c>
      <c r="B282">
        <v>49.038333333333334</v>
      </c>
      <c r="C282">
        <v>125.71833333333333</v>
      </c>
      <c r="D282" t="s">
        <v>66</v>
      </c>
      <c r="E282" t="s">
        <v>128</v>
      </c>
      <c r="F282" t="s">
        <v>227</v>
      </c>
      <c r="G282">
        <v>344</v>
      </c>
      <c r="H282">
        <v>1992</v>
      </c>
    </row>
    <row r="283" spans="1:8">
      <c r="A283" t="s">
        <v>59</v>
      </c>
      <c r="B283">
        <v>48.875</v>
      </c>
      <c r="C283">
        <v>125.47833333333334</v>
      </c>
      <c r="D283" t="s">
        <v>51</v>
      </c>
      <c r="E283" t="s">
        <v>128</v>
      </c>
      <c r="F283" t="s">
        <v>227</v>
      </c>
      <c r="G283">
        <v>0</v>
      </c>
      <c r="H283">
        <v>1992</v>
      </c>
    </row>
    <row r="284" spans="1:8">
      <c r="A284" t="s">
        <v>87</v>
      </c>
      <c r="B284">
        <v>50.101666666666667</v>
      </c>
      <c r="C284">
        <v>127.64666666666666</v>
      </c>
      <c r="D284" t="s">
        <v>90</v>
      </c>
      <c r="E284" t="s">
        <v>128</v>
      </c>
      <c r="F284" t="s">
        <v>227</v>
      </c>
      <c r="G284">
        <v>81</v>
      </c>
      <c r="H284">
        <v>1992</v>
      </c>
    </row>
    <row r="285" spans="1:8">
      <c r="A285" t="s">
        <v>52</v>
      </c>
      <c r="B285">
        <v>48.723333333333336</v>
      </c>
      <c r="C285">
        <v>125.105</v>
      </c>
      <c r="D285" t="s">
        <v>51</v>
      </c>
      <c r="E285" t="s">
        <v>128</v>
      </c>
      <c r="F285" t="s">
        <v>227</v>
      </c>
      <c r="G285">
        <v>0</v>
      </c>
      <c r="H285">
        <v>1992</v>
      </c>
    </row>
    <row r="286" spans="1:8">
      <c r="A286" t="s">
        <v>71</v>
      </c>
      <c r="B286">
        <v>49.403333333333336</v>
      </c>
      <c r="C286">
        <v>126.58333333333333</v>
      </c>
      <c r="D286" t="s">
        <v>66</v>
      </c>
      <c r="E286" t="s">
        <v>128</v>
      </c>
      <c r="F286" t="s">
        <v>227</v>
      </c>
      <c r="G286">
        <v>0</v>
      </c>
      <c r="H286">
        <v>1992</v>
      </c>
    </row>
    <row r="287" spans="1:8">
      <c r="A287" t="s">
        <v>75</v>
      </c>
      <c r="B287">
        <v>49.30833333333333</v>
      </c>
      <c r="C287">
        <v>126.22833333333334</v>
      </c>
      <c r="D287" t="s">
        <v>78</v>
      </c>
      <c r="E287" t="s">
        <v>128</v>
      </c>
      <c r="F287" t="s">
        <v>227</v>
      </c>
      <c r="G287">
        <v>0</v>
      </c>
      <c r="H287">
        <v>1992</v>
      </c>
    </row>
    <row r="288" spans="1:8">
      <c r="A288" t="s">
        <v>91</v>
      </c>
      <c r="B288">
        <v>50.111666666666665</v>
      </c>
      <c r="C288">
        <v>127.94</v>
      </c>
      <c r="D288" t="s">
        <v>51</v>
      </c>
      <c r="E288" t="s">
        <v>128</v>
      </c>
      <c r="F288" t="s">
        <v>227</v>
      </c>
      <c r="G288">
        <v>51</v>
      </c>
      <c r="H288">
        <v>1992</v>
      </c>
    </row>
    <row r="289" spans="1:8">
      <c r="A289" t="s">
        <v>56</v>
      </c>
      <c r="B289">
        <v>48.86333333333333</v>
      </c>
      <c r="C289">
        <v>125.35833333333333</v>
      </c>
      <c r="D289" t="s">
        <v>51</v>
      </c>
      <c r="E289" t="s">
        <v>128</v>
      </c>
      <c r="F289" t="s">
        <v>227</v>
      </c>
      <c r="G289">
        <v>0</v>
      </c>
      <c r="H289">
        <v>1992</v>
      </c>
    </row>
    <row r="290" spans="1:8" ht="15">
      <c r="A290" t="s">
        <v>157</v>
      </c>
      <c r="B290">
        <v>53.05</v>
      </c>
      <c r="C290">
        <v>129.21166666666667</v>
      </c>
      <c r="D290" t="s">
        <v>66</v>
      </c>
      <c r="E290" t="s">
        <v>228</v>
      </c>
      <c r="F290" t="s">
        <v>229</v>
      </c>
      <c r="G290" s="44">
        <v>-13</v>
      </c>
      <c r="H290">
        <v>1994</v>
      </c>
    </row>
    <row r="291" spans="1:8">
      <c r="A291" t="s">
        <v>145</v>
      </c>
      <c r="B291">
        <v>51.80833333333333</v>
      </c>
      <c r="C291">
        <v>128.25333333333333</v>
      </c>
      <c r="D291" t="s">
        <v>66</v>
      </c>
      <c r="E291" t="s">
        <v>228</v>
      </c>
      <c r="F291" t="s">
        <v>229</v>
      </c>
      <c r="G291">
        <v>0</v>
      </c>
      <c r="H291">
        <v>1994</v>
      </c>
    </row>
    <row r="292" spans="1:8">
      <c r="A292" t="s">
        <v>148</v>
      </c>
      <c r="B292">
        <v>51.868333333333332</v>
      </c>
      <c r="C292">
        <v>128.46</v>
      </c>
      <c r="D292" t="s">
        <v>103</v>
      </c>
      <c r="E292" t="s">
        <v>228</v>
      </c>
      <c r="F292" t="s">
        <v>229</v>
      </c>
      <c r="G292">
        <v>192</v>
      </c>
      <c r="H292">
        <v>1994</v>
      </c>
    </row>
    <row r="293" spans="1:8">
      <c r="A293" t="s">
        <v>151</v>
      </c>
      <c r="B293">
        <v>52.263333333333335</v>
      </c>
      <c r="C293">
        <v>128.72166666666666</v>
      </c>
      <c r="D293" t="s">
        <v>66</v>
      </c>
      <c r="E293" t="s">
        <v>228</v>
      </c>
      <c r="F293" t="s">
        <v>229</v>
      </c>
      <c r="G293">
        <v>241</v>
      </c>
      <c r="H293">
        <v>1994</v>
      </c>
    </row>
    <row r="294" spans="1:8">
      <c r="A294" t="s">
        <v>142</v>
      </c>
      <c r="B294">
        <v>51.363333333333337</v>
      </c>
      <c r="C294">
        <v>128.00166666666667</v>
      </c>
      <c r="D294" t="s">
        <v>66</v>
      </c>
      <c r="E294" t="s">
        <v>228</v>
      </c>
      <c r="F294" t="s">
        <v>229</v>
      </c>
      <c r="G294">
        <v>98</v>
      </c>
      <c r="H294">
        <v>1994</v>
      </c>
    </row>
    <row r="295" spans="1:8">
      <c r="A295" t="s">
        <v>154</v>
      </c>
      <c r="B295">
        <v>52.463333333333331</v>
      </c>
      <c r="C295">
        <v>129.37166666666667</v>
      </c>
      <c r="D295" t="s">
        <v>66</v>
      </c>
      <c r="E295" t="s">
        <v>228</v>
      </c>
      <c r="F295" t="s">
        <v>229</v>
      </c>
      <c r="G295">
        <v>137</v>
      </c>
      <c r="H295">
        <v>1994</v>
      </c>
    </row>
    <row r="296" spans="1:8">
      <c r="A296" t="s">
        <v>138</v>
      </c>
      <c r="B296">
        <v>51.28</v>
      </c>
      <c r="C296">
        <v>128.20333333333335</v>
      </c>
      <c r="D296" t="s">
        <v>103</v>
      </c>
      <c r="E296" t="s">
        <v>228</v>
      </c>
      <c r="F296" t="s">
        <v>229</v>
      </c>
      <c r="G296">
        <v>131</v>
      </c>
      <c r="H296">
        <v>1994</v>
      </c>
    </row>
    <row r="297" spans="1:8">
      <c r="A297" t="s">
        <v>26</v>
      </c>
      <c r="B297">
        <v>52.103333333333332</v>
      </c>
      <c r="C297">
        <v>131.24</v>
      </c>
      <c r="D297" t="s">
        <v>66</v>
      </c>
      <c r="E297" t="s">
        <v>231</v>
      </c>
      <c r="F297" t="s">
        <v>229</v>
      </c>
      <c r="G297">
        <v>617</v>
      </c>
      <c r="H297">
        <v>1994</v>
      </c>
    </row>
    <row r="298" spans="1:8">
      <c r="A298" t="s">
        <v>19</v>
      </c>
      <c r="B298">
        <v>51.911666666666669</v>
      </c>
      <c r="C298">
        <v>130.98166666666665</v>
      </c>
      <c r="D298" t="s">
        <v>103</v>
      </c>
      <c r="E298" t="s">
        <v>231</v>
      </c>
      <c r="F298" t="s">
        <v>229</v>
      </c>
      <c r="G298">
        <v>797</v>
      </c>
      <c r="H298">
        <v>1994</v>
      </c>
    </row>
    <row r="299" spans="1:8">
      <c r="A299" t="s">
        <v>23</v>
      </c>
      <c r="B299">
        <v>53.376666666666665</v>
      </c>
      <c r="C299">
        <v>132.72166666666666</v>
      </c>
      <c r="D299" t="s">
        <v>51</v>
      </c>
      <c r="E299" t="s">
        <v>231</v>
      </c>
      <c r="F299" t="s">
        <v>229</v>
      </c>
      <c r="G299">
        <v>21</v>
      </c>
      <c r="H299">
        <v>1994</v>
      </c>
    </row>
    <row r="300" spans="1:8">
      <c r="A300" t="s">
        <v>215</v>
      </c>
      <c r="B300">
        <v>52.213333333333331</v>
      </c>
      <c r="C300">
        <v>130.96</v>
      </c>
      <c r="D300" t="s">
        <v>103</v>
      </c>
      <c r="E300" t="s">
        <v>231</v>
      </c>
      <c r="F300" t="s">
        <v>229</v>
      </c>
      <c r="G300" t="s">
        <v>30</v>
      </c>
      <c r="H300">
        <v>1994</v>
      </c>
    </row>
    <row r="301" spans="1:8">
      <c r="A301" t="s">
        <v>207</v>
      </c>
      <c r="B301">
        <v>53.813333333333333</v>
      </c>
      <c r="C301">
        <v>133.13333333333333</v>
      </c>
      <c r="D301" t="s">
        <v>66</v>
      </c>
      <c r="E301" t="s">
        <v>231</v>
      </c>
      <c r="F301" t="s">
        <v>229</v>
      </c>
      <c r="G301">
        <v>397</v>
      </c>
      <c r="H301">
        <v>1994</v>
      </c>
    </row>
    <row r="302" spans="1:8">
      <c r="A302" t="s">
        <v>190</v>
      </c>
      <c r="B302">
        <v>52.336666666666666</v>
      </c>
      <c r="C302">
        <v>131.13166666666666</v>
      </c>
      <c r="D302" t="s">
        <v>66</v>
      </c>
      <c r="E302" t="s">
        <v>231</v>
      </c>
      <c r="F302" t="s">
        <v>229</v>
      </c>
      <c r="G302" t="s">
        <v>30</v>
      </c>
      <c r="H302">
        <v>1994</v>
      </c>
    </row>
    <row r="303" spans="1:8">
      <c r="A303" t="s">
        <v>25</v>
      </c>
      <c r="B303">
        <v>54.26</v>
      </c>
      <c r="C303">
        <v>133.01499999999999</v>
      </c>
      <c r="D303" t="s">
        <v>51</v>
      </c>
      <c r="E303" t="s">
        <v>231</v>
      </c>
      <c r="F303" t="s">
        <v>229</v>
      </c>
      <c r="G303">
        <v>0</v>
      </c>
      <c r="H303">
        <v>1994</v>
      </c>
    </row>
    <row r="304" spans="1:8">
      <c r="A304" t="s">
        <v>203</v>
      </c>
      <c r="B304">
        <v>53.204999999999998</v>
      </c>
      <c r="C304">
        <v>132.65166666666667</v>
      </c>
      <c r="D304" t="s">
        <v>66</v>
      </c>
      <c r="E304" t="s">
        <v>231</v>
      </c>
      <c r="F304" t="s">
        <v>229</v>
      </c>
      <c r="G304">
        <v>0</v>
      </c>
      <c r="H304">
        <v>1994</v>
      </c>
    </row>
    <row r="305" spans="1:8">
      <c r="A305" t="s">
        <v>21</v>
      </c>
      <c r="B305">
        <v>52.973333333333336</v>
      </c>
      <c r="C305">
        <v>132.36000000000001</v>
      </c>
      <c r="D305" t="s">
        <v>78</v>
      </c>
      <c r="E305" t="s">
        <v>231</v>
      </c>
      <c r="F305" t="s">
        <v>229</v>
      </c>
      <c r="G305">
        <v>115</v>
      </c>
      <c r="H305">
        <v>1994</v>
      </c>
    </row>
    <row r="306" spans="1:8">
      <c r="A306" t="s">
        <v>14</v>
      </c>
      <c r="B306">
        <v>52.87166666666667</v>
      </c>
      <c r="C306">
        <v>131.48500000000001</v>
      </c>
      <c r="D306" t="s">
        <v>66</v>
      </c>
      <c r="E306" t="s">
        <v>231</v>
      </c>
      <c r="F306" t="s">
        <v>229</v>
      </c>
      <c r="G306">
        <v>538</v>
      </c>
      <c r="H306">
        <v>1994</v>
      </c>
    </row>
    <row r="307" spans="1:8">
      <c r="A307" t="s">
        <v>13</v>
      </c>
      <c r="B307">
        <v>54.211666666666666</v>
      </c>
      <c r="C307">
        <v>131.61333333333334</v>
      </c>
      <c r="D307" t="s">
        <v>66</v>
      </c>
      <c r="E307" t="s">
        <v>231</v>
      </c>
      <c r="F307" t="s">
        <v>229</v>
      </c>
      <c r="G307" t="s">
        <v>30</v>
      </c>
      <c r="H307">
        <v>1994</v>
      </c>
    </row>
    <row r="308" spans="1:8">
      <c r="A308" t="s">
        <v>20</v>
      </c>
      <c r="B308">
        <v>52.703333333333333</v>
      </c>
      <c r="C308">
        <v>132.07499999999999</v>
      </c>
      <c r="D308" t="s">
        <v>66</v>
      </c>
      <c r="E308" t="s">
        <v>231</v>
      </c>
      <c r="F308" t="s">
        <v>229</v>
      </c>
      <c r="G308">
        <v>196</v>
      </c>
      <c r="H308">
        <v>1994</v>
      </c>
    </row>
    <row r="309" spans="1:8">
      <c r="A309" t="s">
        <v>187</v>
      </c>
      <c r="B309">
        <v>52.953333333333333</v>
      </c>
      <c r="C309">
        <v>131.55166666666668</v>
      </c>
      <c r="D309" t="s">
        <v>78</v>
      </c>
      <c r="E309" t="s">
        <v>231</v>
      </c>
      <c r="F309" t="s">
        <v>229</v>
      </c>
      <c r="G309">
        <v>0</v>
      </c>
      <c r="H309">
        <v>1994</v>
      </c>
    </row>
    <row r="310" spans="1:8">
      <c r="A310" t="s">
        <v>193</v>
      </c>
      <c r="B310">
        <v>52.543333333333337</v>
      </c>
      <c r="C310">
        <v>131.35666666666665</v>
      </c>
      <c r="D310" t="s">
        <v>66</v>
      </c>
      <c r="E310" t="s">
        <v>231</v>
      </c>
      <c r="F310" t="s">
        <v>229</v>
      </c>
      <c r="G310">
        <v>0</v>
      </c>
      <c r="H310">
        <v>1994</v>
      </c>
    </row>
    <row r="311" spans="1:8">
      <c r="A311" t="s">
        <v>173</v>
      </c>
      <c r="B311">
        <v>53.466666666666669</v>
      </c>
      <c r="C311">
        <v>130.61333333333334</v>
      </c>
      <c r="D311" t="s">
        <v>103</v>
      </c>
      <c r="E311" t="s">
        <v>230</v>
      </c>
      <c r="F311" t="s">
        <v>229</v>
      </c>
      <c r="G311" t="s">
        <v>30</v>
      </c>
      <c r="H311">
        <v>1994</v>
      </c>
    </row>
    <row r="312" spans="1:8">
      <c r="A312" t="s">
        <v>180</v>
      </c>
      <c r="B312">
        <v>54.44166666666667</v>
      </c>
      <c r="C312">
        <v>130.98666666666668</v>
      </c>
      <c r="D312" t="s">
        <v>66</v>
      </c>
      <c r="E312" t="s">
        <v>230</v>
      </c>
      <c r="F312" t="s">
        <v>229</v>
      </c>
      <c r="G312">
        <v>797</v>
      </c>
      <c r="H312">
        <v>1994</v>
      </c>
    </row>
    <row r="313" spans="1:8">
      <c r="A313" t="s">
        <v>163</v>
      </c>
      <c r="B313">
        <v>52.736666666666665</v>
      </c>
      <c r="C313">
        <v>129.53</v>
      </c>
      <c r="D313" t="s">
        <v>66</v>
      </c>
      <c r="E313" t="s">
        <v>230</v>
      </c>
      <c r="F313" t="s">
        <v>229</v>
      </c>
      <c r="G313" t="s">
        <v>30</v>
      </c>
      <c r="H313">
        <v>1994</v>
      </c>
    </row>
    <row r="314" spans="1:8">
      <c r="A314" t="s">
        <v>166</v>
      </c>
      <c r="B314">
        <v>53.145000000000003</v>
      </c>
      <c r="C314">
        <v>130.04166666666666</v>
      </c>
      <c r="D314" t="s">
        <v>66</v>
      </c>
      <c r="E314" t="s">
        <v>230</v>
      </c>
      <c r="F314" t="s">
        <v>229</v>
      </c>
      <c r="G314">
        <v>538</v>
      </c>
      <c r="H314">
        <v>1994</v>
      </c>
    </row>
    <row r="315" spans="1:8">
      <c r="A315" t="s">
        <v>170</v>
      </c>
      <c r="B315">
        <v>53.255000000000003</v>
      </c>
      <c r="C315">
        <v>130.34166666666667</v>
      </c>
      <c r="D315" t="s">
        <v>103</v>
      </c>
      <c r="E315" t="s">
        <v>230</v>
      </c>
      <c r="F315" t="s">
        <v>229</v>
      </c>
      <c r="G315">
        <v>0</v>
      </c>
      <c r="H315">
        <v>1994</v>
      </c>
    </row>
    <row r="316" spans="1:8">
      <c r="A316" t="s">
        <v>176</v>
      </c>
      <c r="B316">
        <v>54.064999999999998</v>
      </c>
      <c r="C316">
        <v>130.85166666666666</v>
      </c>
      <c r="D316" t="s">
        <v>66</v>
      </c>
      <c r="E316" t="s">
        <v>230</v>
      </c>
      <c r="F316" t="s">
        <v>229</v>
      </c>
      <c r="G316">
        <v>0</v>
      </c>
      <c r="H316">
        <v>1994</v>
      </c>
    </row>
    <row r="317" spans="1:8">
      <c r="A317" t="s">
        <v>115</v>
      </c>
      <c r="B317">
        <v>50.94166666666667</v>
      </c>
      <c r="C317">
        <v>127.92</v>
      </c>
      <c r="D317" t="s">
        <v>51</v>
      </c>
      <c r="E317" t="s">
        <v>223</v>
      </c>
      <c r="F317" t="s">
        <v>227</v>
      </c>
      <c r="G317">
        <v>226</v>
      </c>
      <c r="H317">
        <v>1994</v>
      </c>
    </row>
    <row r="318" spans="1:8">
      <c r="A318" t="s">
        <v>118</v>
      </c>
      <c r="B318">
        <v>50.94166666666667</v>
      </c>
      <c r="C318">
        <v>127.65666666666667</v>
      </c>
      <c r="D318" t="s">
        <v>51</v>
      </c>
      <c r="E318" t="s">
        <v>223</v>
      </c>
      <c r="F318" t="s">
        <v>227</v>
      </c>
      <c r="G318">
        <v>0</v>
      </c>
      <c r="H318">
        <v>1994</v>
      </c>
    </row>
    <row r="319" spans="1:8">
      <c r="A319" t="s">
        <v>123</v>
      </c>
      <c r="B319">
        <v>50.74666666666667</v>
      </c>
      <c r="C319">
        <v>126.72166666666666</v>
      </c>
      <c r="D319" t="s">
        <v>66</v>
      </c>
      <c r="E319" t="s">
        <v>223</v>
      </c>
      <c r="F319" t="s">
        <v>227</v>
      </c>
      <c r="G319">
        <v>0</v>
      </c>
      <c r="H319">
        <v>1994</v>
      </c>
    </row>
    <row r="320" spans="1:8">
      <c r="A320" t="s">
        <v>120</v>
      </c>
      <c r="B320">
        <v>50.91</v>
      </c>
      <c r="C320">
        <v>127.44166666666666</v>
      </c>
      <c r="D320" t="s">
        <v>51</v>
      </c>
      <c r="E320" t="s">
        <v>223</v>
      </c>
      <c r="F320" t="s">
        <v>227</v>
      </c>
      <c r="G320">
        <v>0</v>
      </c>
      <c r="H320">
        <v>1994</v>
      </c>
    </row>
    <row r="321" spans="1:8">
      <c r="A321" t="s">
        <v>104</v>
      </c>
      <c r="B321">
        <v>50.791666666666664</v>
      </c>
      <c r="C321">
        <v>128.77000000000001</v>
      </c>
      <c r="D321" t="s">
        <v>66</v>
      </c>
      <c r="E321" t="s">
        <v>222</v>
      </c>
      <c r="F321" t="s">
        <v>227</v>
      </c>
      <c r="G321">
        <v>119</v>
      </c>
      <c r="H321">
        <v>1994</v>
      </c>
    </row>
    <row r="322" spans="1:8">
      <c r="A322" t="s">
        <v>100</v>
      </c>
      <c r="B322">
        <v>50.801666666666669</v>
      </c>
      <c r="C322">
        <v>128.78</v>
      </c>
      <c r="D322" t="s">
        <v>103</v>
      </c>
      <c r="E322" t="s">
        <v>222</v>
      </c>
      <c r="F322" t="s">
        <v>227</v>
      </c>
      <c r="G322">
        <v>371</v>
      </c>
      <c r="H322">
        <v>1994</v>
      </c>
    </row>
    <row r="323" spans="1:8">
      <c r="A323" t="s">
        <v>107</v>
      </c>
      <c r="B323">
        <v>50.82</v>
      </c>
      <c r="C323">
        <v>128.90333333333334</v>
      </c>
      <c r="D323" t="s">
        <v>103</v>
      </c>
      <c r="E323" t="s">
        <v>222</v>
      </c>
      <c r="F323" t="s">
        <v>227</v>
      </c>
      <c r="G323">
        <v>343</v>
      </c>
      <c r="H323">
        <v>1994</v>
      </c>
    </row>
    <row r="324" spans="1:8">
      <c r="A324" t="s">
        <v>110</v>
      </c>
      <c r="B324">
        <v>50.87166666666667</v>
      </c>
      <c r="C324">
        <v>129.07666666666665</v>
      </c>
      <c r="D324" t="s">
        <v>103</v>
      </c>
      <c r="E324" t="s">
        <v>222</v>
      </c>
      <c r="F324" t="s">
        <v>227</v>
      </c>
      <c r="G324">
        <v>1626</v>
      </c>
      <c r="H324">
        <v>1994</v>
      </c>
    </row>
    <row r="325" spans="1:8">
      <c r="A325" t="s">
        <v>82</v>
      </c>
      <c r="B325">
        <v>50.011666666666663</v>
      </c>
      <c r="C325">
        <v>127.52666666666667</v>
      </c>
      <c r="D325" t="s">
        <v>66</v>
      </c>
      <c r="E325" t="s">
        <v>128</v>
      </c>
      <c r="F325" t="s">
        <v>227</v>
      </c>
      <c r="G325">
        <v>290</v>
      </c>
      <c r="H325">
        <v>1994</v>
      </c>
    </row>
    <row r="326" spans="1:8">
      <c r="A326" t="s">
        <v>94</v>
      </c>
      <c r="B326">
        <v>50.784999999999997</v>
      </c>
      <c r="C326">
        <v>128.41999999999999</v>
      </c>
      <c r="D326" t="s">
        <v>78</v>
      </c>
      <c r="E326" t="s">
        <v>128</v>
      </c>
      <c r="F326" t="s">
        <v>227</v>
      </c>
      <c r="G326">
        <v>68</v>
      </c>
      <c r="H326">
        <v>1994</v>
      </c>
    </row>
    <row r="327" spans="1:8">
      <c r="A327" t="s">
        <v>46</v>
      </c>
      <c r="B327">
        <v>48.615000000000002</v>
      </c>
      <c r="C327">
        <v>124.76166666666667</v>
      </c>
      <c r="D327" t="s">
        <v>51</v>
      </c>
      <c r="E327" t="s">
        <v>128</v>
      </c>
      <c r="F327" t="s">
        <v>227</v>
      </c>
      <c r="G327">
        <v>150</v>
      </c>
      <c r="H327">
        <v>1994</v>
      </c>
    </row>
    <row r="328" spans="1:8">
      <c r="A328" t="s">
        <v>67</v>
      </c>
      <c r="B328">
        <v>49.171666666666667</v>
      </c>
      <c r="C328">
        <v>125.09166666666667</v>
      </c>
      <c r="D328" t="s">
        <v>66</v>
      </c>
      <c r="E328" t="s">
        <v>128</v>
      </c>
      <c r="F328" t="s">
        <v>227</v>
      </c>
      <c r="G328">
        <v>0</v>
      </c>
      <c r="H328">
        <v>1994</v>
      </c>
    </row>
    <row r="329" spans="1:8">
      <c r="A329" t="s">
        <v>79</v>
      </c>
      <c r="B329">
        <v>49.743333333333332</v>
      </c>
      <c r="C329">
        <v>126.97833333333334</v>
      </c>
      <c r="D329" t="s">
        <v>51</v>
      </c>
      <c r="E329" t="s">
        <v>128</v>
      </c>
      <c r="F329" t="s">
        <v>227</v>
      </c>
      <c r="G329">
        <v>0</v>
      </c>
      <c r="H329">
        <v>1994</v>
      </c>
    </row>
    <row r="330" spans="1:8">
      <c r="A330" t="s">
        <v>62</v>
      </c>
      <c r="B330">
        <v>49.038333333333334</v>
      </c>
      <c r="C330">
        <v>125.71833333333333</v>
      </c>
      <c r="D330" t="s">
        <v>66</v>
      </c>
      <c r="E330" t="s">
        <v>128</v>
      </c>
      <c r="F330" t="s">
        <v>227</v>
      </c>
      <c r="G330">
        <v>298</v>
      </c>
      <c r="H330">
        <v>1994</v>
      </c>
    </row>
    <row r="331" spans="1:8">
      <c r="A331" t="s">
        <v>59</v>
      </c>
      <c r="B331">
        <v>48.875</v>
      </c>
      <c r="C331">
        <v>125.47833333333334</v>
      </c>
      <c r="D331" t="s">
        <v>51</v>
      </c>
      <c r="E331" t="s">
        <v>128</v>
      </c>
      <c r="F331" t="s">
        <v>227</v>
      </c>
      <c r="G331">
        <v>41</v>
      </c>
      <c r="H331">
        <v>1994</v>
      </c>
    </row>
    <row r="332" spans="1:8">
      <c r="A332" t="s">
        <v>87</v>
      </c>
      <c r="B332">
        <v>50.101666666666667</v>
      </c>
      <c r="C332">
        <v>127.64666666666666</v>
      </c>
      <c r="D332" t="s">
        <v>90</v>
      </c>
      <c r="E332" t="s">
        <v>128</v>
      </c>
      <c r="F332" t="s">
        <v>227</v>
      </c>
      <c r="G332">
        <v>14</v>
      </c>
      <c r="H332">
        <v>1994</v>
      </c>
    </row>
    <row r="333" spans="1:8">
      <c r="A333" t="s">
        <v>52</v>
      </c>
      <c r="B333">
        <v>48.723333333333336</v>
      </c>
      <c r="C333">
        <v>125.105</v>
      </c>
      <c r="D333" t="s">
        <v>51</v>
      </c>
      <c r="E333" t="s">
        <v>128</v>
      </c>
      <c r="F333" t="s">
        <v>227</v>
      </c>
      <c r="G333">
        <v>0</v>
      </c>
      <c r="H333">
        <v>1994</v>
      </c>
    </row>
    <row r="334" spans="1:8">
      <c r="A334" t="s">
        <v>71</v>
      </c>
      <c r="B334">
        <v>49.403333333333336</v>
      </c>
      <c r="C334">
        <v>126.58333333333333</v>
      </c>
      <c r="D334" t="s">
        <v>66</v>
      </c>
      <c r="E334" t="s">
        <v>128</v>
      </c>
      <c r="F334" t="s">
        <v>227</v>
      </c>
      <c r="G334">
        <v>0</v>
      </c>
      <c r="H334">
        <v>1994</v>
      </c>
    </row>
    <row r="335" spans="1:8">
      <c r="A335" t="s">
        <v>75</v>
      </c>
      <c r="B335">
        <v>49.30833333333333</v>
      </c>
      <c r="C335">
        <v>126.22833333333334</v>
      </c>
      <c r="D335" t="s">
        <v>78</v>
      </c>
      <c r="E335" t="s">
        <v>128</v>
      </c>
      <c r="F335" t="s">
        <v>227</v>
      </c>
      <c r="G335">
        <v>58</v>
      </c>
      <c r="H335">
        <v>1994</v>
      </c>
    </row>
    <row r="336" spans="1:8">
      <c r="A336" t="s">
        <v>91</v>
      </c>
      <c r="B336">
        <v>50.111666666666665</v>
      </c>
      <c r="C336">
        <v>127.94</v>
      </c>
      <c r="D336" t="s">
        <v>51</v>
      </c>
      <c r="E336" t="s">
        <v>128</v>
      </c>
      <c r="F336" t="s">
        <v>227</v>
      </c>
      <c r="G336">
        <v>419</v>
      </c>
      <c r="H336">
        <v>1994</v>
      </c>
    </row>
    <row r="337" spans="1:8">
      <c r="A337" t="s">
        <v>56</v>
      </c>
      <c r="B337">
        <v>48.86333333333333</v>
      </c>
      <c r="C337">
        <v>125.35833333333333</v>
      </c>
      <c r="D337" t="s">
        <v>51</v>
      </c>
      <c r="E337" t="s">
        <v>128</v>
      </c>
      <c r="F337" t="s">
        <v>227</v>
      </c>
      <c r="G337">
        <v>0</v>
      </c>
      <c r="H337">
        <v>1994</v>
      </c>
    </row>
    <row r="338" spans="1:8">
      <c r="A338" t="s">
        <v>157</v>
      </c>
      <c r="B338">
        <v>53.05</v>
      </c>
      <c r="C338">
        <v>129.21166666666667</v>
      </c>
      <c r="D338" t="s">
        <v>66</v>
      </c>
      <c r="E338" t="s">
        <v>228</v>
      </c>
      <c r="F338" t="s">
        <v>229</v>
      </c>
      <c r="G338">
        <v>0</v>
      </c>
      <c r="H338">
        <v>1998</v>
      </c>
    </row>
    <row r="339" spans="1:8">
      <c r="A339" t="s">
        <v>145</v>
      </c>
      <c r="B339">
        <v>51.80833333333333</v>
      </c>
      <c r="C339">
        <v>128.25333333333333</v>
      </c>
      <c r="D339" t="s">
        <v>66</v>
      </c>
      <c r="E339" t="s">
        <v>228</v>
      </c>
      <c r="F339" t="s">
        <v>229</v>
      </c>
      <c r="G339">
        <v>0</v>
      </c>
      <c r="H339">
        <v>1998</v>
      </c>
    </row>
    <row r="340" spans="1:8">
      <c r="A340" t="s">
        <v>148</v>
      </c>
      <c r="B340">
        <v>51.868333333333332</v>
      </c>
      <c r="C340">
        <v>128.46</v>
      </c>
      <c r="D340" t="s">
        <v>103</v>
      </c>
      <c r="E340" t="s">
        <v>228</v>
      </c>
      <c r="F340" t="s">
        <v>229</v>
      </c>
      <c r="G340">
        <v>133</v>
      </c>
      <c r="H340">
        <v>1998</v>
      </c>
    </row>
    <row r="341" spans="1:8">
      <c r="A341" t="s">
        <v>151</v>
      </c>
      <c r="B341">
        <v>52.263333333333335</v>
      </c>
      <c r="C341">
        <v>128.72166666666666</v>
      </c>
      <c r="D341" t="s">
        <v>66</v>
      </c>
      <c r="E341" t="s">
        <v>228</v>
      </c>
      <c r="F341" t="s">
        <v>229</v>
      </c>
      <c r="G341">
        <v>163</v>
      </c>
      <c r="H341">
        <v>1998</v>
      </c>
    </row>
    <row r="342" spans="1:8">
      <c r="A342" t="s">
        <v>142</v>
      </c>
      <c r="B342">
        <v>51.363333333333337</v>
      </c>
      <c r="C342">
        <v>128.00166666666667</v>
      </c>
      <c r="D342" t="s">
        <v>66</v>
      </c>
      <c r="E342" t="s">
        <v>228</v>
      </c>
      <c r="F342" t="s">
        <v>229</v>
      </c>
      <c r="G342">
        <v>199</v>
      </c>
      <c r="H342">
        <v>1998</v>
      </c>
    </row>
    <row r="343" spans="1:8">
      <c r="A343" t="s">
        <v>154</v>
      </c>
      <c r="B343">
        <v>52.463333333333331</v>
      </c>
      <c r="C343">
        <v>129.37166666666667</v>
      </c>
      <c r="D343" t="s">
        <v>66</v>
      </c>
      <c r="E343" t="s">
        <v>228</v>
      </c>
      <c r="F343" t="s">
        <v>229</v>
      </c>
      <c r="G343">
        <v>227</v>
      </c>
      <c r="H343">
        <v>1998</v>
      </c>
    </row>
    <row r="344" spans="1:8">
      <c r="A344" t="s">
        <v>138</v>
      </c>
      <c r="B344">
        <v>51.28</v>
      </c>
      <c r="C344">
        <v>128.20333333333335</v>
      </c>
      <c r="D344" t="s">
        <v>103</v>
      </c>
      <c r="E344" t="s">
        <v>228</v>
      </c>
      <c r="F344" t="s">
        <v>229</v>
      </c>
      <c r="G344">
        <v>168</v>
      </c>
      <c r="H344">
        <v>1998</v>
      </c>
    </row>
    <row r="345" spans="1:8">
      <c r="A345" t="s">
        <v>26</v>
      </c>
      <c r="B345">
        <v>52.103333333333332</v>
      </c>
      <c r="C345">
        <v>131.24</v>
      </c>
      <c r="D345" t="s">
        <v>66</v>
      </c>
      <c r="E345" t="s">
        <v>231</v>
      </c>
      <c r="F345" t="s">
        <v>229</v>
      </c>
      <c r="G345">
        <v>359</v>
      </c>
      <c r="H345">
        <v>1998</v>
      </c>
    </row>
    <row r="346" spans="1:8">
      <c r="A346" t="s">
        <v>19</v>
      </c>
      <c r="B346">
        <v>51.911666666666669</v>
      </c>
      <c r="C346">
        <v>130.98166666666665</v>
      </c>
      <c r="D346" t="s">
        <v>103</v>
      </c>
      <c r="E346" t="s">
        <v>231</v>
      </c>
      <c r="F346" t="s">
        <v>229</v>
      </c>
      <c r="G346">
        <v>763</v>
      </c>
      <c r="H346">
        <v>1998</v>
      </c>
    </row>
    <row r="347" spans="1:8">
      <c r="A347" t="s">
        <v>23</v>
      </c>
      <c r="B347">
        <v>53.376666666666665</v>
      </c>
      <c r="C347">
        <v>132.72166666666666</v>
      </c>
      <c r="D347" t="s">
        <v>51</v>
      </c>
      <c r="E347" t="s">
        <v>231</v>
      </c>
      <c r="F347" t="s">
        <v>229</v>
      </c>
      <c r="G347">
        <v>1</v>
      </c>
      <c r="H347">
        <v>1998</v>
      </c>
    </row>
    <row r="348" spans="1:8" ht="15">
      <c r="A348" t="s">
        <v>215</v>
      </c>
      <c r="B348">
        <v>52.213333333333331</v>
      </c>
      <c r="C348">
        <v>130.96</v>
      </c>
      <c r="D348" t="s">
        <v>103</v>
      </c>
      <c r="E348" t="s">
        <v>231</v>
      </c>
      <c r="F348" t="s">
        <v>229</v>
      </c>
      <c r="G348" s="44" t="s">
        <v>70</v>
      </c>
      <c r="H348">
        <v>1998</v>
      </c>
    </row>
    <row r="349" spans="1:8">
      <c r="A349" t="s">
        <v>207</v>
      </c>
      <c r="B349">
        <v>53.813333333333333</v>
      </c>
      <c r="C349">
        <v>133.13333333333333</v>
      </c>
      <c r="D349" t="s">
        <v>66</v>
      </c>
      <c r="E349" t="s">
        <v>231</v>
      </c>
      <c r="F349" t="s">
        <v>229</v>
      </c>
      <c r="G349">
        <v>601</v>
      </c>
      <c r="H349">
        <v>1998</v>
      </c>
    </row>
    <row r="350" spans="1:8">
      <c r="A350" t="s">
        <v>190</v>
      </c>
      <c r="B350">
        <v>52.336666666666666</v>
      </c>
      <c r="C350">
        <v>131.13166666666666</v>
      </c>
      <c r="D350" t="s">
        <v>66</v>
      </c>
      <c r="E350" t="s">
        <v>231</v>
      </c>
      <c r="F350" t="s">
        <v>229</v>
      </c>
      <c r="G350" t="s">
        <v>30</v>
      </c>
      <c r="H350">
        <v>1998</v>
      </c>
    </row>
    <row r="351" spans="1:8">
      <c r="A351" t="s">
        <v>25</v>
      </c>
      <c r="B351">
        <v>54.26</v>
      </c>
      <c r="C351">
        <v>133.01499999999999</v>
      </c>
      <c r="D351" t="s">
        <v>51</v>
      </c>
      <c r="E351" t="s">
        <v>231</v>
      </c>
      <c r="F351" t="s">
        <v>229</v>
      </c>
      <c r="G351">
        <v>217</v>
      </c>
      <c r="H351">
        <v>1998</v>
      </c>
    </row>
    <row r="352" spans="1:8">
      <c r="A352" t="s">
        <v>203</v>
      </c>
      <c r="B352">
        <v>53.204999999999998</v>
      </c>
      <c r="C352">
        <v>132.65166666666667</v>
      </c>
      <c r="D352" t="s">
        <v>66</v>
      </c>
      <c r="E352" t="s">
        <v>231</v>
      </c>
      <c r="F352" t="s">
        <v>229</v>
      </c>
      <c r="G352">
        <v>0</v>
      </c>
      <c r="H352">
        <v>1998</v>
      </c>
    </row>
    <row r="353" spans="1:8">
      <c r="A353" t="s">
        <v>21</v>
      </c>
      <c r="B353">
        <v>52.973333333333336</v>
      </c>
      <c r="C353">
        <v>132.36000000000001</v>
      </c>
      <c r="D353" t="s">
        <v>78</v>
      </c>
      <c r="E353" t="s">
        <v>231</v>
      </c>
      <c r="F353" t="s">
        <v>229</v>
      </c>
      <c r="G353">
        <v>65</v>
      </c>
      <c r="H353">
        <v>1998</v>
      </c>
    </row>
    <row r="354" spans="1:8">
      <c r="A354" t="s">
        <v>14</v>
      </c>
      <c r="B354">
        <v>52.87166666666667</v>
      </c>
      <c r="C354">
        <v>131.48500000000001</v>
      </c>
      <c r="D354" t="s">
        <v>66</v>
      </c>
      <c r="E354" t="s">
        <v>231</v>
      </c>
      <c r="F354" t="s">
        <v>229</v>
      </c>
      <c r="G354">
        <v>216</v>
      </c>
      <c r="H354">
        <v>1998</v>
      </c>
    </row>
    <row r="355" spans="1:8">
      <c r="A355" t="s">
        <v>13</v>
      </c>
      <c r="B355">
        <v>54.211666666666666</v>
      </c>
      <c r="C355">
        <v>131.61333333333334</v>
      </c>
      <c r="D355" t="s">
        <v>66</v>
      </c>
      <c r="E355" t="s">
        <v>231</v>
      </c>
      <c r="F355" t="s">
        <v>229</v>
      </c>
      <c r="G355">
        <v>0</v>
      </c>
      <c r="H355">
        <v>1998</v>
      </c>
    </row>
    <row r="356" spans="1:8">
      <c r="A356" t="s">
        <v>20</v>
      </c>
      <c r="B356">
        <v>52.703333333333333</v>
      </c>
      <c r="C356">
        <v>132.07499999999999</v>
      </c>
      <c r="D356" t="s">
        <v>66</v>
      </c>
      <c r="E356" t="s">
        <v>231</v>
      </c>
      <c r="F356" t="s">
        <v>229</v>
      </c>
      <c r="G356">
        <v>285</v>
      </c>
      <c r="H356">
        <v>1998</v>
      </c>
    </row>
    <row r="357" spans="1:8">
      <c r="A357" t="s">
        <v>187</v>
      </c>
      <c r="B357">
        <v>52.953333333333333</v>
      </c>
      <c r="C357">
        <v>131.55166666666668</v>
      </c>
      <c r="D357" t="s">
        <v>78</v>
      </c>
      <c r="E357" t="s">
        <v>231</v>
      </c>
      <c r="F357" t="s">
        <v>229</v>
      </c>
      <c r="G357">
        <v>0</v>
      </c>
      <c r="H357">
        <v>1998</v>
      </c>
    </row>
    <row r="358" spans="1:8">
      <c r="A358" t="s">
        <v>193</v>
      </c>
      <c r="B358">
        <v>52.543333333333337</v>
      </c>
      <c r="C358">
        <v>131.35666666666665</v>
      </c>
      <c r="D358" t="s">
        <v>66</v>
      </c>
      <c r="E358" t="s">
        <v>231</v>
      </c>
      <c r="F358" t="s">
        <v>229</v>
      </c>
      <c r="G358">
        <v>0</v>
      </c>
      <c r="H358">
        <v>1998</v>
      </c>
    </row>
    <row r="359" spans="1:8">
      <c r="A359" t="s">
        <v>173</v>
      </c>
      <c r="B359">
        <v>53.466666666666669</v>
      </c>
      <c r="C359">
        <v>130.61333333333334</v>
      </c>
      <c r="D359" t="s">
        <v>103</v>
      </c>
      <c r="E359" t="s">
        <v>230</v>
      </c>
      <c r="F359" t="s">
        <v>229</v>
      </c>
      <c r="G359" t="s">
        <v>30</v>
      </c>
      <c r="H359">
        <v>1998</v>
      </c>
    </row>
    <row r="360" spans="1:8">
      <c r="A360" t="s">
        <v>180</v>
      </c>
      <c r="B360">
        <v>54.44166666666667</v>
      </c>
      <c r="C360">
        <v>130.98666666666668</v>
      </c>
      <c r="D360" t="s">
        <v>66</v>
      </c>
      <c r="E360" t="s">
        <v>230</v>
      </c>
      <c r="F360" t="s">
        <v>229</v>
      </c>
      <c r="G360">
        <v>763</v>
      </c>
      <c r="H360">
        <v>1998</v>
      </c>
    </row>
    <row r="361" spans="1:8">
      <c r="A361" t="s">
        <v>163</v>
      </c>
      <c r="B361">
        <v>52.736666666666665</v>
      </c>
      <c r="C361">
        <v>129.53</v>
      </c>
      <c r="D361" t="s">
        <v>66</v>
      </c>
      <c r="E361" t="s">
        <v>230</v>
      </c>
      <c r="F361" t="s">
        <v>229</v>
      </c>
      <c r="G361">
        <v>0</v>
      </c>
      <c r="H361">
        <v>1998</v>
      </c>
    </row>
    <row r="362" spans="1:8">
      <c r="A362" t="s">
        <v>166</v>
      </c>
      <c r="B362">
        <v>53.145000000000003</v>
      </c>
      <c r="C362">
        <v>130.04166666666666</v>
      </c>
      <c r="D362" t="s">
        <v>66</v>
      </c>
      <c r="E362" t="s">
        <v>230</v>
      </c>
      <c r="F362" t="s">
        <v>229</v>
      </c>
      <c r="G362">
        <v>216</v>
      </c>
      <c r="H362">
        <v>1998</v>
      </c>
    </row>
    <row r="363" spans="1:8">
      <c r="A363" t="s">
        <v>170</v>
      </c>
      <c r="B363">
        <v>53.255000000000003</v>
      </c>
      <c r="C363">
        <v>130.34166666666667</v>
      </c>
      <c r="D363" t="s">
        <v>103</v>
      </c>
      <c r="E363" t="s">
        <v>230</v>
      </c>
      <c r="F363" t="s">
        <v>229</v>
      </c>
      <c r="G363">
        <v>0</v>
      </c>
      <c r="H363">
        <v>1998</v>
      </c>
    </row>
    <row r="364" spans="1:8">
      <c r="A364" t="s">
        <v>176</v>
      </c>
      <c r="B364">
        <v>54.064999999999998</v>
      </c>
      <c r="C364">
        <v>130.85166666666666</v>
      </c>
      <c r="D364" t="s">
        <v>66</v>
      </c>
      <c r="E364" t="s">
        <v>230</v>
      </c>
      <c r="F364" t="s">
        <v>229</v>
      </c>
      <c r="G364">
        <v>0</v>
      </c>
      <c r="H364">
        <v>1998</v>
      </c>
    </row>
    <row r="365" spans="1:8">
      <c r="A365" t="s">
        <v>115</v>
      </c>
      <c r="B365">
        <v>50.94166666666667</v>
      </c>
      <c r="C365">
        <v>127.92</v>
      </c>
      <c r="D365" t="s">
        <v>51</v>
      </c>
      <c r="E365" t="s">
        <v>223</v>
      </c>
      <c r="F365" t="s">
        <v>227</v>
      </c>
      <c r="G365">
        <v>225</v>
      </c>
      <c r="H365">
        <v>1998</v>
      </c>
    </row>
    <row r="366" spans="1:8">
      <c r="A366" t="s">
        <v>118</v>
      </c>
      <c r="B366">
        <v>50.94166666666667</v>
      </c>
      <c r="C366">
        <v>127.65666666666667</v>
      </c>
      <c r="D366" t="s">
        <v>51</v>
      </c>
      <c r="E366" t="s">
        <v>223</v>
      </c>
      <c r="F366" t="s">
        <v>227</v>
      </c>
      <c r="G366">
        <v>0</v>
      </c>
      <c r="H366">
        <v>1998</v>
      </c>
    </row>
    <row r="367" spans="1:8">
      <c r="A367" t="s">
        <v>123</v>
      </c>
      <c r="B367">
        <v>50.74666666666667</v>
      </c>
      <c r="C367">
        <v>126.72166666666666</v>
      </c>
      <c r="D367" t="s">
        <v>66</v>
      </c>
      <c r="E367" t="s">
        <v>223</v>
      </c>
      <c r="F367" t="s">
        <v>227</v>
      </c>
      <c r="G367">
        <v>0</v>
      </c>
      <c r="H367">
        <v>1998</v>
      </c>
    </row>
    <row r="368" spans="1:8">
      <c r="A368" t="s">
        <v>120</v>
      </c>
      <c r="B368">
        <v>50.91</v>
      </c>
      <c r="C368">
        <v>127.44166666666666</v>
      </c>
      <c r="D368" t="s">
        <v>51</v>
      </c>
      <c r="E368" t="s">
        <v>223</v>
      </c>
      <c r="F368" t="s">
        <v>227</v>
      </c>
      <c r="G368">
        <v>0</v>
      </c>
      <c r="H368">
        <v>1998</v>
      </c>
    </row>
    <row r="369" spans="1:8">
      <c r="A369" t="s">
        <v>104</v>
      </c>
      <c r="B369">
        <v>50.791666666666664</v>
      </c>
      <c r="C369">
        <v>128.77000000000001</v>
      </c>
      <c r="D369" t="s">
        <v>66</v>
      </c>
      <c r="E369" t="s">
        <v>222</v>
      </c>
      <c r="F369" t="s">
        <v>227</v>
      </c>
      <c r="G369">
        <v>5</v>
      </c>
      <c r="H369">
        <v>1998</v>
      </c>
    </row>
    <row r="370" spans="1:8">
      <c r="A370" t="s">
        <v>100</v>
      </c>
      <c r="B370">
        <v>50.801666666666669</v>
      </c>
      <c r="C370">
        <v>128.78</v>
      </c>
      <c r="D370" t="s">
        <v>103</v>
      </c>
      <c r="E370" t="s">
        <v>222</v>
      </c>
      <c r="F370" t="s">
        <v>227</v>
      </c>
      <c r="G370">
        <v>245</v>
      </c>
      <c r="H370">
        <v>1998</v>
      </c>
    </row>
    <row r="371" spans="1:8">
      <c r="A371" t="s">
        <v>107</v>
      </c>
      <c r="B371">
        <v>50.82</v>
      </c>
      <c r="C371">
        <v>128.90333333333334</v>
      </c>
      <c r="D371" t="s">
        <v>103</v>
      </c>
      <c r="E371" t="s">
        <v>222</v>
      </c>
      <c r="F371" t="s">
        <v>227</v>
      </c>
      <c r="G371">
        <v>262</v>
      </c>
      <c r="H371">
        <v>1998</v>
      </c>
    </row>
    <row r="372" spans="1:8">
      <c r="A372" t="s">
        <v>110</v>
      </c>
      <c r="B372">
        <v>50.87166666666667</v>
      </c>
      <c r="C372">
        <v>129.07666666666665</v>
      </c>
      <c r="D372" t="s">
        <v>103</v>
      </c>
      <c r="E372" t="s">
        <v>222</v>
      </c>
      <c r="F372" t="s">
        <v>227</v>
      </c>
      <c r="G372">
        <v>2540</v>
      </c>
      <c r="H372">
        <v>1998</v>
      </c>
    </row>
    <row r="373" spans="1:8">
      <c r="A373" t="s">
        <v>82</v>
      </c>
      <c r="B373">
        <v>50.011666666666663</v>
      </c>
      <c r="C373">
        <v>127.52666666666667</v>
      </c>
      <c r="D373" t="s">
        <v>66</v>
      </c>
      <c r="E373" t="s">
        <v>128</v>
      </c>
      <c r="F373" t="s">
        <v>227</v>
      </c>
      <c r="G373">
        <v>843</v>
      </c>
      <c r="H373">
        <v>1998</v>
      </c>
    </row>
    <row r="374" spans="1:8">
      <c r="A374" t="s">
        <v>94</v>
      </c>
      <c r="B374">
        <v>50.784999999999997</v>
      </c>
      <c r="C374">
        <v>128.41999999999999</v>
      </c>
      <c r="D374" t="s">
        <v>78</v>
      </c>
      <c r="E374" t="s">
        <v>128</v>
      </c>
      <c r="F374" t="s">
        <v>227</v>
      </c>
      <c r="G374">
        <v>0</v>
      </c>
      <c r="H374">
        <v>1998</v>
      </c>
    </row>
    <row r="375" spans="1:8">
      <c r="A375" t="s">
        <v>46</v>
      </c>
      <c r="B375">
        <v>48.615000000000002</v>
      </c>
      <c r="C375">
        <v>124.76166666666667</v>
      </c>
      <c r="D375" t="s">
        <v>51</v>
      </c>
      <c r="E375" t="s">
        <v>128</v>
      </c>
      <c r="F375" t="s">
        <v>227</v>
      </c>
      <c r="G375">
        <v>255</v>
      </c>
      <c r="H375">
        <v>1998</v>
      </c>
    </row>
    <row r="376" spans="1:8">
      <c r="A376" t="s">
        <v>67</v>
      </c>
      <c r="B376">
        <v>49.171666666666667</v>
      </c>
      <c r="C376">
        <v>125.09166666666667</v>
      </c>
      <c r="D376" t="s">
        <v>66</v>
      </c>
      <c r="E376" t="s">
        <v>128</v>
      </c>
      <c r="F376" t="s">
        <v>227</v>
      </c>
      <c r="G376">
        <v>0</v>
      </c>
      <c r="H376">
        <v>1998</v>
      </c>
    </row>
    <row r="377" spans="1:8">
      <c r="A377" t="s">
        <v>79</v>
      </c>
      <c r="B377">
        <v>49.743333333333332</v>
      </c>
      <c r="C377">
        <v>126.97833333333334</v>
      </c>
      <c r="D377" t="s">
        <v>51</v>
      </c>
      <c r="E377" t="s">
        <v>128</v>
      </c>
      <c r="F377" t="s">
        <v>227</v>
      </c>
      <c r="G377">
        <v>0</v>
      </c>
      <c r="H377">
        <v>1998</v>
      </c>
    </row>
    <row r="378" spans="1:8">
      <c r="A378" t="s">
        <v>62</v>
      </c>
      <c r="B378">
        <v>49.038333333333334</v>
      </c>
      <c r="C378">
        <v>125.71833333333333</v>
      </c>
      <c r="D378" t="s">
        <v>66</v>
      </c>
      <c r="E378" t="s">
        <v>128</v>
      </c>
      <c r="F378" t="s">
        <v>227</v>
      </c>
      <c r="G378">
        <v>535</v>
      </c>
      <c r="H378">
        <v>1998</v>
      </c>
    </row>
    <row r="379" spans="1:8">
      <c r="A379" t="s">
        <v>59</v>
      </c>
      <c r="B379">
        <v>48.875</v>
      </c>
      <c r="C379">
        <v>125.47833333333334</v>
      </c>
      <c r="D379" t="s">
        <v>51</v>
      </c>
      <c r="E379" t="s">
        <v>128</v>
      </c>
      <c r="F379" t="s">
        <v>227</v>
      </c>
      <c r="G379">
        <v>87</v>
      </c>
      <c r="H379">
        <v>1998</v>
      </c>
    </row>
    <row r="380" spans="1:8">
      <c r="A380" t="s">
        <v>87</v>
      </c>
      <c r="B380">
        <v>50.101666666666667</v>
      </c>
      <c r="C380">
        <v>127.64666666666666</v>
      </c>
      <c r="D380" t="s">
        <v>90</v>
      </c>
      <c r="E380" t="s">
        <v>128</v>
      </c>
      <c r="F380" t="s">
        <v>227</v>
      </c>
      <c r="G380">
        <v>74</v>
      </c>
      <c r="H380">
        <v>1998</v>
      </c>
    </row>
    <row r="381" spans="1:8">
      <c r="A381" t="s">
        <v>52</v>
      </c>
      <c r="B381">
        <v>48.723333333333336</v>
      </c>
      <c r="C381">
        <v>125.105</v>
      </c>
      <c r="D381" t="s">
        <v>51</v>
      </c>
      <c r="E381" t="s">
        <v>128</v>
      </c>
      <c r="F381" t="s">
        <v>227</v>
      </c>
      <c r="G381">
        <v>0</v>
      </c>
      <c r="H381">
        <v>1998</v>
      </c>
    </row>
    <row r="382" spans="1:8">
      <c r="A382" t="s">
        <v>71</v>
      </c>
      <c r="B382">
        <v>49.403333333333336</v>
      </c>
      <c r="C382">
        <v>126.58333333333333</v>
      </c>
      <c r="D382" t="s">
        <v>66</v>
      </c>
      <c r="E382" t="s">
        <v>128</v>
      </c>
      <c r="F382" t="s">
        <v>227</v>
      </c>
      <c r="G382">
        <v>0</v>
      </c>
      <c r="H382">
        <v>1998</v>
      </c>
    </row>
    <row r="383" spans="1:8">
      <c r="A383" t="s">
        <v>75</v>
      </c>
      <c r="B383">
        <v>49.30833333333333</v>
      </c>
      <c r="C383">
        <v>126.22833333333334</v>
      </c>
      <c r="D383" t="s">
        <v>78</v>
      </c>
      <c r="E383" t="s">
        <v>128</v>
      </c>
      <c r="F383" t="s">
        <v>227</v>
      </c>
      <c r="G383">
        <v>0</v>
      </c>
      <c r="H383">
        <v>1998</v>
      </c>
    </row>
    <row r="384" spans="1:8">
      <c r="A384" t="s">
        <v>91</v>
      </c>
      <c r="B384">
        <v>50.111666666666665</v>
      </c>
      <c r="C384">
        <v>127.94</v>
      </c>
      <c r="D384" t="s">
        <v>51</v>
      </c>
      <c r="E384" t="s">
        <v>128</v>
      </c>
      <c r="F384" t="s">
        <v>227</v>
      </c>
      <c r="G384">
        <v>179</v>
      </c>
      <c r="H384">
        <v>1998</v>
      </c>
    </row>
    <row r="385" spans="1:8">
      <c r="A385" t="s">
        <v>56</v>
      </c>
      <c r="B385">
        <v>48.86333333333333</v>
      </c>
      <c r="C385">
        <v>125.35833333333333</v>
      </c>
      <c r="D385" t="s">
        <v>51</v>
      </c>
      <c r="E385" t="s">
        <v>128</v>
      </c>
      <c r="F385" t="s">
        <v>227</v>
      </c>
      <c r="G385">
        <v>0</v>
      </c>
      <c r="H385">
        <v>1998</v>
      </c>
    </row>
    <row r="386" spans="1:8">
      <c r="A386" t="s">
        <v>157</v>
      </c>
      <c r="B386">
        <v>53.05</v>
      </c>
      <c r="C386">
        <v>129.21166666666667</v>
      </c>
      <c r="D386" t="s">
        <v>66</v>
      </c>
      <c r="E386" t="s">
        <v>228</v>
      </c>
      <c r="F386" t="s">
        <v>229</v>
      </c>
      <c r="G386">
        <v>0</v>
      </c>
      <c r="H386">
        <v>2002</v>
      </c>
    </row>
    <row r="387" spans="1:8">
      <c r="A387" t="s">
        <v>145</v>
      </c>
      <c r="B387">
        <v>51.80833333333333</v>
      </c>
      <c r="C387">
        <v>128.25333333333333</v>
      </c>
      <c r="D387" t="s">
        <v>66</v>
      </c>
      <c r="E387" t="s">
        <v>228</v>
      </c>
      <c r="F387" t="s">
        <v>229</v>
      </c>
      <c r="G387">
        <v>0</v>
      </c>
      <c r="H387">
        <v>2002</v>
      </c>
    </row>
    <row r="388" spans="1:8">
      <c r="A388" t="s">
        <v>148</v>
      </c>
      <c r="B388">
        <v>51.868333333333332</v>
      </c>
      <c r="C388">
        <v>128.46</v>
      </c>
      <c r="D388" t="s">
        <v>103</v>
      </c>
      <c r="E388" t="s">
        <v>228</v>
      </c>
      <c r="F388" t="s">
        <v>229</v>
      </c>
      <c r="G388">
        <v>160</v>
      </c>
      <c r="H388">
        <v>2002</v>
      </c>
    </row>
    <row r="389" spans="1:8">
      <c r="A389" t="s">
        <v>151</v>
      </c>
      <c r="B389">
        <v>52.263333333333335</v>
      </c>
      <c r="C389">
        <v>128.72166666666666</v>
      </c>
      <c r="D389" t="s">
        <v>66</v>
      </c>
      <c r="E389" t="s">
        <v>228</v>
      </c>
      <c r="F389" t="s">
        <v>229</v>
      </c>
      <c r="G389">
        <v>25</v>
      </c>
      <c r="H389">
        <v>2002</v>
      </c>
    </row>
    <row r="390" spans="1:8">
      <c r="A390" t="s">
        <v>142</v>
      </c>
      <c r="B390">
        <v>51.363333333333337</v>
      </c>
      <c r="C390">
        <v>128.00166666666667</v>
      </c>
      <c r="D390" t="s">
        <v>66</v>
      </c>
      <c r="E390" t="s">
        <v>228</v>
      </c>
      <c r="F390" t="s">
        <v>229</v>
      </c>
      <c r="G390">
        <v>467</v>
      </c>
      <c r="H390">
        <v>2002</v>
      </c>
    </row>
    <row r="391" spans="1:8">
      <c r="A391" t="s">
        <v>154</v>
      </c>
      <c r="B391">
        <v>52.463333333333331</v>
      </c>
      <c r="C391">
        <v>129.37166666666667</v>
      </c>
      <c r="D391" t="s">
        <v>66</v>
      </c>
      <c r="E391" t="s">
        <v>228</v>
      </c>
      <c r="F391" t="s">
        <v>229</v>
      </c>
      <c r="G391">
        <v>101</v>
      </c>
      <c r="H391">
        <v>2002</v>
      </c>
    </row>
    <row r="392" spans="1:8">
      <c r="A392" t="s">
        <v>138</v>
      </c>
      <c r="B392">
        <v>51.28</v>
      </c>
      <c r="C392">
        <v>128.20333333333335</v>
      </c>
      <c r="D392" t="s">
        <v>103</v>
      </c>
      <c r="E392" t="s">
        <v>228</v>
      </c>
      <c r="F392" t="s">
        <v>229</v>
      </c>
      <c r="G392">
        <v>419</v>
      </c>
      <c r="H392">
        <v>2002</v>
      </c>
    </row>
    <row r="393" spans="1:8">
      <c r="A393" t="s">
        <v>26</v>
      </c>
      <c r="B393">
        <v>52.103333333333332</v>
      </c>
      <c r="C393">
        <v>131.24</v>
      </c>
      <c r="D393" t="s">
        <v>66</v>
      </c>
      <c r="E393" t="s">
        <v>231</v>
      </c>
      <c r="F393" t="s">
        <v>229</v>
      </c>
      <c r="G393">
        <v>313</v>
      </c>
      <c r="H393">
        <v>2002</v>
      </c>
    </row>
    <row r="394" spans="1:8">
      <c r="A394" t="s">
        <v>19</v>
      </c>
      <c r="B394">
        <v>51.911666666666669</v>
      </c>
      <c r="C394">
        <v>130.98166666666665</v>
      </c>
      <c r="D394" t="s">
        <v>103</v>
      </c>
      <c r="E394" t="s">
        <v>231</v>
      </c>
      <c r="F394" t="s">
        <v>229</v>
      </c>
      <c r="G394">
        <v>982</v>
      </c>
      <c r="H394">
        <v>2002</v>
      </c>
    </row>
    <row r="395" spans="1:8">
      <c r="A395" t="s">
        <v>23</v>
      </c>
      <c r="B395">
        <v>53.376666666666665</v>
      </c>
      <c r="C395">
        <v>132.72166666666666</v>
      </c>
      <c r="D395" t="s">
        <v>51</v>
      </c>
      <c r="E395" t="s">
        <v>231</v>
      </c>
      <c r="F395" t="s">
        <v>229</v>
      </c>
      <c r="G395">
        <v>131</v>
      </c>
      <c r="H395">
        <v>2002</v>
      </c>
    </row>
    <row r="396" spans="1:8">
      <c r="A396" t="s">
        <v>215</v>
      </c>
      <c r="B396">
        <v>52.213333333333331</v>
      </c>
      <c r="C396">
        <v>130.96</v>
      </c>
      <c r="D396" t="s">
        <v>103</v>
      </c>
      <c r="E396" t="s">
        <v>231</v>
      </c>
      <c r="F396" t="s">
        <v>229</v>
      </c>
      <c r="G396">
        <v>329</v>
      </c>
      <c r="H396">
        <v>2002</v>
      </c>
    </row>
    <row r="397" spans="1:8">
      <c r="A397" t="s">
        <v>207</v>
      </c>
      <c r="B397">
        <v>53.813333333333333</v>
      </c>
      <c r="C397">
        <v>133.13333333333333</v>
      </c>
      <c r="D397" t="s">
        <v>66</v>
      </c>
      <c r="E397" t="s">
        <v>231</v>
      </c>
      <c r="F397" t="s">
        <v>229</v>
      </c>
      <c r="G397">
        <v>696</v>
      </c>
      <c r="H397">
        <v>2002</v>
      </c>
    </row>
    <row r="398" spans="1:8">
      <c r="A398" t="s">
        <v>190</v>
      </c>
      <c r="B398">
        <v>52.336666666666666</v>
      </c>
      <c r="C398">
        <v>131.13166666666666</v>
      </c>
      <c r="D398" t="s">
        <v>66</v>
      </c>
      <c r="E398" t="s">
        <v>231</v>
      </c>
      <c r="F398" t="s">
        <v>229</v>
      </c>
      <c r="G398" t="s">
        <v>30</v>
      </c>
      <c r="H398">
        <v>2002</v>
      </c>
    </row>
    <row r="399" spans="1:8">
      <c r="A399" t="s">
        <v>25</v>
      </c>
      <c r="B399">
        <v>54.26</v>
      </c>
      <c r="C399">
        <v>133.01499999999999</v>
      </c>
      <c r="D399" t="s">
        <v>51</v>
      </c>
      <c r="E399" t="s">
        <v>231</v>
      </c>
      <c r="F399" t="s">
        <v>229</v>
      </c>
      <c r="G399">
        <v>3</v>
      </c>
      <c r="H399">
        <v>2002</v>
      </c>
    </row>
    <row r="400" spans="1:8">
      <c r="A400" t="s">
        <v>203</v>
      </c>
      <c r="B400">
        <v>53.204999999999998</v>
      </c>
      <c r="C400">
        <v>132.65166666666667</v>
      </c>
      <c r="D400" t="s">
        <v>66</v>
      </c>
      <c r="E400" t="s">
        <v>231</v>
      </c>
      <c r="F400" t="s">
        <v>229</v>
      </c>
      <c r="G400">
        <v>0</v>
      </c>
      <c r="H400">
        <v>2002</v>
      </c>
    </row>
    <row r="401" spans="1:8">
      <c r="A401" t="s">
        <v>21</v>
      </c>
      <c r="B401">
        <v>52.973333333333336</v>
      </c>
      <c r="C401">
        <v>132.36000000000001</v>
      </c>
      <c r="D401" t="s">
        <v>78</v>
      </c>
      <c r="E401" t="s">
        <v>231</v>
      </c>
      <c r="F401" t="s">
        <v>229</v>
      </c>
      <c r="G401">
        <v>2</v>
      </c>
      <c r="H401">
        <v>2002</v>
      </c>
    </row>
    <row r="402" spans="1:8">
      <c r="A402" t="s">
        <v>14</v>
      </c>
      <c r="B402">
        <v>52.87166666666667</v>
      </c>
      <c r="C402">
        <v>131.48500000000001</v>
      </c>
      <c r="D402" t="s">
        <v>66</v>
      </c>
      <c r="E402" t="s">
        <v>231</v>
      </c>
      <c r="F402" t="s">
        <v>229</v>
      </c>
      <c r="G402">
        <v>370</v>
      </c>
      <c r="H402">
        <v>2002</v>
      </c>
    </row>
    <row r="403" spans="1:8">
      <c r="A403" t="s">
        <v>13</v>
      </c>
      <c r="B403">
        <v>54.211666666666666</v>
      </c>
      <c r="C403">
        <v>131.61333333333334</v>
      </c>
      <c r="D403" t="s">
        <v>66</v>
      </c>
      <c r="E403" t="s">
        <v>231</v>
      </c>
      <c r="F403" t="s">
        <v>229</v>
      </c>
      <c r="G403">
        <v>0</v>
      </c>
      <c r="H403">
        <v>2002</v>
      </c>
    </row>
    <row r="404" spans="1:8">
      <c r="A404" t="s">
        <v>20</v>
      </c>
      <c r="B404">
        <v>52.703333333333333</v>
      </c>
      <c r="C404">
        <v>132.07499999999999</v>
      </c>
      <c r="D404" t="s">
        <v>66</v>
      </c>
      <c r="E404" t="s">
        <v>231</v>
      </c>
      <c r="F404" t="s">
        <v>229</v>
      </c>
      <c r="G404">
        <v>151</v>
      </c>
      <c r="H404">
        <v>2002</v>
      </c>
    </row>
    <row r="405" spans="1:8">
      <c r="A405" t="s">
        <v>187</v>
      </c>
      <c r="B405">
        <v>52.953333333333333</v>
      </c>
      <c r="C405">
        <v>131.55166666666668</v>
      </c>
      <c r="D405" t="s">
        <v>78</v>
      </c>
      <c r="E405" t="s">
        <v>231</v>
      </c>
      <c r="F405" t="s">
        <v>229</v>
      </c>
      <c r="G405">
        <v>0</v>
      </c>
      <c r="H405">
        <v>2002</v>
      </c>
    </row>
    <row r="406" spans="1:8">
      <c r="A406" t="s">
        <v>193</v>
      </c>
      <c r="B406">
        <v>52.543333333333337</v>
      </c>
      <c r="C406">
        <v>131.35666666666665</v>
      </c>
      <c r="D406" t="s">
        <v>66</v>
      </c>
      <c r="E406" t="s">
        <v>231</v>
      </c>
      <c r="F406" t="s">
        <v>229</v>
      </c>
      <c r="G406">
        <v>0</v>
      </c>
      <c r="H406">
        <v>2002</v>
      </c>
    </row>
    <row r="407" spans="1:8">
      <c r="A407" t="s">
        <v>173</v>
      </c>
      <c r="B407">
        <v>53.466666666666669</v>
      </c>
      <c r="C407">
        <v>130.61333333333334</v>
      </c>
      <c r="D407" t="s">
        <v>103</v>
      </c>
      <c r="E407" t="s">
        <v>230</v>
      </c>
      <c r="F407" t="s">
        <v>229</v>
      </c>
      <c r="G407" t="s">
        <v>30</v>
      </c>
      <c r="H407">
        <v>2002</v>
      </c>
    </row>
    <row r="408" spans="1:8">
      <c r="A408" t="s">
        <v>180</v>
      </c>
      <c r="B408">
        <v>54.44166666666667</v>
      </c>
      <c r="C408">
        <v>130.98666666666668</v>
      </c>
      <c r="D408" t="s">
        <v>66</v>
      </c>
      <c r="E408" t="s">
        <v>230</v>
      </c>
      <c r="F408" t="s">
        <v>229</v>
      </c>
      <c r="G408">
        <v>982</v>
      </c>
      <c r="H408">
        <v>2002</v>
      </c>
    </row>
    <row r="409" spans="1:8">
      <c r="A409" t="s">
        <v>163</v>
      </c>
      <c r="B409">
        <v>52.736666666666665</v>
      </c>
      <c r="C409">
        <v>129.53</v>
      </c>
      <c r="D409" t="s">
        <v>66</v>
      </c>
      <c r="E409" t="s">
        <v>230</v>
      </c>
      <c r="F409" t="s">
        <v>229</v>
      </c>
      <c r="G409">
        <v>0</v>
      </c>
      <c r="H409">
        <v>2002</v>
      </c>
    </row>
    <row r="410" spans="1:8">
      <c r="A410" t="s">
        <v>166</v>
      </c>
      <c r="B410">
        <v>53.145000000000003</v>
      </c>
      <c r="C410">
        <v>130.04166666666666</v>
      </c>
      <c r="D410" t="s">
        <v>66</v>
      </c>
      <c r="E410" t="s">
        <v>230</v>
      </c>
      <c r="F410" t="s">
        <v>229</v>
      </c>
      <c r="G410">
        <v>370</v>
      </c>
      <c r="H410">
        <v>2002</v>
      </c>
    </row>
    <row r="411" spans="1:8">
      <c r="A411" t="s">
        <v>170</v>
      </c>
      <c r="B411">
        <v>53.255000000000003</v>
      </c>
      <c r="C411">
        <v>130.34166666666667</v>
      </c>
      <c r="D411" t="s">
        <v>103</v>
      </c>
      <c r="E411" t="s">
        <v>230</v>
      </c>
      <c r="F411" t="s">
        <v>229</v>
      </c>
      <c r="G411">
        <v>0</v>
      </c>
      <c r="H411">
        <v>2002</v>
      </c>
    </row>
    <row r="412" spans="1:8">
      <c r="A412" t="s">
        <v>176</v>
      </c>
      <c r="B412">
        <v>54.064999999999998</v>
      </c>
      <c r="C412">
        <v>130.85166666666666</v>
      </c>
      <c r="D412" t="s">
        <v>66</v>
      </c>
      <c r="E412" t="s">
        <v>230</v>
      </c>
      <c r="F412" t="s">
        <v>229</v>
      </c>
      <c r="G412">
        <v>0</v>
      </c>
      <c r="H412">
        <v>2002</v>
      </c>
    </row>
    <row r="413" spans="1:8">
      <c r="A413" t="s">
        <v>115</v>
      </c>
      <c r="B413">
        <v>50.94166666666667</v>
      </c>
      <c r="C413">
        <v>127.92</v>
      </c>
      <c r="D413" t="s">
        <v>51</v>
      </c>
      <c r="E413" t="s">
        <v>223</v>
      </c>
      <c r="F413" t="s">
        <v>227</v>
      </c>
      <c r="G413">
        <v>519</v>
      </c>
      <c r="H413">
        <v>2002</v>
      </c>
    </row>
    <row r="414" spans="1:8">
      <c r="A414" t="s">
        <v>118</v>
      </c>
      <c r="B414">
        <v>50.94166666666667</v>
      </c>
      <c r="C414">
        <v>127.65666666666667</v>
      </c>
      <c r="D414" t="s">
        <v>51</v>
      </c>
      <c r="E414" t="s">
        <v>223</v>
      </c>
      <c r="F414" t="s">
        <v>227</v>
      </c>
      <c r="G414">
        <v>47</v>
      </c>
      <c r="H414">
        <v>2002</v>
      </c>
    </row>
    <row r="415" spans="1:8">
      <c r="A415" t="s">
        <v>123</v>
      </c>
      <c r="B415">
        <v>50.74666666666667</v>
      </c>
      <c r="C415">
        <v>126.72166666666666</v>
      </c>
      <c r="D415" t="s">
        <v>66</v>
      </c>
      <c r="E415" t="s">
        <v>223</v>
      </c>
      <c r="F415" t="s">
        <v>227</v>
      </c>
      <c r="G415">
        <v>0</v>
      </c>
      <c r="H415">
        <v>2002</v>
      </c>
    </row>
    <row r="416" spans="1:8">
      <c r="A416" t="s">
        <v>120</v>
      </c>
      <c r="B416">
        <v>50.91</v>
      </c>
      <c r="C416">
        <v>127.44166666666666</v>
      </c>
      <c r="D416" t="s">
        <v>51</v>
      </c>
      <c r="E416" t="s">
        <v>223</v>
      </c>
      <c r="F416" t="s">
        <v>227</v>
      </c>
      <c r="G416">
        <v>0</v>
      </c>
      <c r="H416">
        <v>2002</v>
      </c>
    </row>
    <row r="417" spans="1:8" ht="15">
      <c r="A417" t="s">
        <v>104</v>
      </c>
      <c r="B417">
        <v>50.791666666666664</v>
      </c>
      <c r="C417">
        <v>128.77000000000001</v>
      </c>
      <c r="D417" t="s">
        <v>66</v>
      </c>
      <c r="E417" t="s">
        <v>222</v>
      </c>
      <c r="F417" t="s">
        <v>227</v>
      </c>
      <c r="G417" s="44">
        <v>146.5</v>
      </c>
      <c r="H417">
        <v>2002</v>
      </c>
    </row>
    <row r="418" spans="1:8" ht="15">
      <c r="A418" t="s">
        <v>100</v>
      </c>
      <c r="B418">
        <v>50.801666666666669</v>
      </c>
      <c r="C418">
        <v>128.78</v>
      </c>
      <c r="D418" t="s">
        <v>103</v>
      </c>
      <c r="E418" t="s">
        <v>222</v>
      </c>
      <c r="F418" t="s">
        <v>227</v>
      </c>
      <c r="G418" s="44">
        <v>455.5</v>
      </c>
      <c r="H418">
        <v>2002</v>
      </c>
    </row>
    <row r="419" spans="1:8">
      <c r="A419" t="s">
        <v>107</v>
      </c>
      <c r="B419">
        <v>50.82</v>
      </c>
      <c r="C419">
        <v>128.90333333333334</v>
      </c>
      <c r="D419" t="s">
        <v>103</v>
      </c>
      <c r="E419" t="s">
        <v>222</v>
      </c>
      <c r="F419" t="s">
        <v>227</v>
      </c>
      <c r="G419">
        <v>268</v>
      </c>
      <c r="H419">
        <v>2002</v>
      </c>
    </row>
    <row r="420" spans="1:8" ht="15">
      <c r="A420" t="s">
        <v>110</v>
      </c>
      <c r="B420">
        <v>50.87166666666667</v>
      </c>
      <c r="C420">
        <v>129.07666666666665</v>
      </c>
      <c r="D420" t="s">
        <v>103</v>
      </c>
      <c r="E420" t="s">
        <v>222</v>
      </c>
      <c r="F420" t="s">
        <v>227</v>
      </c>
      <c r="G420" s="44">
        <v>2994.5</v>
      </c>
      <c r="H420">
        <v>2002</v>
      </c>
    </row>
    <row r="421" spans="1:8">
      <c r="A421" t="s">
        <v>82</v>
      </c>
      <c r="B421">
        <v>50.011666666666663</v>
      </c>
      <c r="C421">
        <v>127.52666666666667</v>
      </c>
      <c r="D421" t="s">
        <v>66</v>
      </c>
      <c r="E421" t="s">
        <v>128</v>
      </c>
      <c r="F421" t="s">
        <v>227</v>
      </c>
      <c r="G421">
        <v>585</v>
      </c>
      <c r="H421">
        <v>2002</v>
      </c>
    </row>
    <row r="422" spans="1:8">
      <c r="A422" t="s">
        <v>94</v>
      </c>
      <c r="B422">
        <v>50.784999999999997</v>
      </c>
      <c r="C422">
        <v>128.41999999999999</v>
      </c>
      <c r="D422" t="s">
        <v>78</v>
      </c>
      <c r="E422" t="s">
        <v>128</v>
      </c>
      <c r="F422" t="s">
        <v>227</v>
      </c>
      <c r="G422">
        <v>0</v>
      </c>
      <c r="H422">
        <v>2002</v>
      </c>
    </row>
    <row r="423" spans="1:8">
      <c r="A423" t="s">
        <v>46</v>
      </c>
      <c r="B423">
        <v>48.615000000000002</v>
      </c>
      <c r="C423">
        <v>124.76166666666667</v>
      </c>
      <c r="D423" t="s">
        <v>51</v>
      </c>
      <c r="E423" t="s">
        <v>128</v>
      </c>
      <c r="F423" t="s">
        <v>227</v>
      </c>
      <c r="G423">
        <v>237</v>
      </c>
      <c r="H423">
        <v>2002</v>
      </c>
    </row>
    <row r="424" spans="1:8" ht="15">
      <c r="A424" t="s">
        <v>67</v>
      </c>
      <c r="B424">
        <v>49.171666666666667</v>
      </c>
      <c r="C424">
        <v>125.09166666666667</v>
      </c>
      <c r="D424" t="s">
        <v>66</v>
      </c>
      <c r="E424" t="s">
        <v>128</v>
      </c>
      <c r="F424" t="s">
        <v>227</v>
      </c>
      <c r="G424" s="44" t="s">
        <v>70</v>
      </c>
      <c r="H424">
        <v>2002</v>
      </c>
    </row>
    <row r="425" spans="1:8">
      <c r="A425" t="s">
        <v>79</v>
      </c>
      <c r="B425">
        <v>49.743333333333332</v>
      </c>
      <c r="C425">
        <v>126.97833333333334</v>
      </c>
      <c r="D425" t="s">
        <v>51</v>
      </c>
      <c r="E425" t="s">
        <v>128</v>
      </c>
      <c r="F425" t="s">
        <v>227</v>
      </c>
      <c r="G425">
        <v>0</v>
      </c>
      <c r="H425">
        <v>2002</v>
      </c>
    </row>
    <row r="426" spans="1:8">
      <c r="A426" t="s">
        <v>62</v>
      </c>
      <c r="B426">
        <v>49.038333333333334</v>
      </c>
      <c r="C426">
        <v>125.71833333333333</v>
      </c>
      <c r="D426" t="s">
        <v>66</v>
      </c>
      <c r="E426" t="s">
        <v>128</v>
      </c>
      <c r="F426" t="s">
        <v>227</v>
      </c>
      <c r="G426">
        <v>714</v>
      </c>
      <c r="H426">
        <v>2002</v>
      </c>
    </row>
    <row r="427" spans="1:8">
      <c r="A427" t="s">
        <v>59</v>
      </c>
      <c r="B427">
        <v>48.875</v>
      </c>
      <c r="C427">
        <v>125.47833333333334</v>
      </c>
      <c r="D427" t="s">
        <v>51</v>
      </c>
      <c r="E427" t="s">
        <v>128</v>
      </c>
      <c r="F427" t="s">
        <v>227</v>
      </c>
      <c r="G427">
        <v>296</v>
      </c>
      <c r="H427">
        <v>2002</v>
      </c>
    </row>
    <row r="428" spans="1:8">
      <c r="A428" t="s">
        <v>87</v>
      </c>
      <c r="B428">
        <v>50.101666666666667</v>
      </c>
      <c r="C428">
        <v>127.64666666666666</v>
      </c>
      <c r="D428" t="s">
        <v>90</v>
      </c>
      <c r="E428" t="s">
        <v>128</v>
      </c>
      <c r="F428" t="s">
        <v>227</v>
      </c>
      <c r="G428">
        <v>2</v>
      </c>
      <c r="H428">
        <v>2002</v>
      </c>
    </row>
    <row r="429" spans="1:8">
      <c r="A429" t="s">
        <v>52</v>
      </c>
      <c r="B429">
        <v>48.723333333333336</v>
      </c>
      <c r="C429">
        <v>125.105</v>
      </c>
      <c r="D429" t="s">
        <v>51</v>
      </c>
      <c r="E429" t="s">
        <v>128</v>
      </c>
      <c r="F429" t="s">
        <v>227</v>
      </c>
      <c r="G429">
        <v>0</v>
      </c>
      <c r="H429">
        <v>2002</v>
      </c>
    </row>
    <row r="430" spans="1:8">
      <c r="A430" t="s">
        <v>71</v>
      </c>
      <c r="B430">
        <v>49.403333333333336</v>
      </c>
      <c r="C430">
        <v>126.58333333333333</v>
      </c>
      <c r="D430" t="s">
        <v>66</v>
      </c>
      <c r="E430" t="s">
        <v>128</v>
      </c>
      <c r="F430" t="s">
        <v>227</v>
      </c>
      <c r="G430">
        <v>0</v>
      </c>
      <c r="H430">
        <v>2002</v>
      </c>
    </row>
    <row r="431" spans="1:8">
      <c r="A431" t="s">
        <v>75</v>
      </c>
      <c r="B431">
        <v>49.30833333333333</v>
      </c>
      <c r="C431">
        <v>126.22833333333334</v>
      </c>
      <c r="D431" t="s">
        <v>78</v>
      </c>
      <c r="E431" t="s">
        <v>128</v>
      </c>
      <c r="F431" t="s">
        <v>227</v>
      </c>
      <c r="G431">
        <v>0</v>
      </c>
      <c r="H431">
        <v>2002</v>
      </c>
    </row>
    <row r="432" spans="1:8">
      <c r="A432" t="s">
        <v>91</v>
      </c>
      <c r="B432">
        <v>50.111666666666665</v>
      </c>
      <c r="C432">
        <v>127.94</v>
      </c>
      <c r="D432" t="s">
        <v>51</v>
      </c>
      <c r="E432" t="s">
        <v>128</v>
      </c>
      <c r="F432" t="s">
        <v>227</v>
      </c>
      <c r="G432">
        <v>187</v>
      </c>
      <c r="H432">
        <v>2002</v>
      </c>
    </row>
    <row r="433" spans="1:8">
      <c r="A433" t="s">
        <v>56</v>
      </c>
      <c r="B433">
        <v>48.86333333333333</v>
      </c>
      <c r="C433">
        <v>125.35833333333333</v>
      </c>
      <c r="D433" t="s">
        <v>51</v>
      </c>
      <c r="E433" t="s">
        <v>128</v>
      </c>
      <c r="F433" t="s">
        <v>227</v>
      </c>
      <c r="G433">
        <v>31</v>
      </c>
      <c r="H433">
        <v>2002</v>
      </c>
    </row>
    <row r="434" spans="1:8">
      <c r="A434" t="s">
        <v>157</v>
      </c>
      <c r="B434">
        <v>53.05</v>
      </c>
      <c r="C434">
        <v>129.21166666666667</v>
      </c>
      <c r="D434" t="s">
        <v>66</v>
      </c>
      <c r="E434" t="s">
        <v>228</v>
      </c>
      <c r="F434" t="s">
        <v>229</v>
      </c>
      <c r="G434" s="43">
        <v>0</v>
      </c>
      <c r="H434">
        <v>2006</v>
      </c>
    </row>
    <row r="435" spans="1:8">
      <c r="A435" t="s">
        <v>145</v>
      </c>
      <c r="B435">
        <v>51.80833333333333</v>
      </c>
      <c r="C435">
        <v>128.25333333333333</v>
      </c>
      <c r="D435" t="s">
        <v>66</v>
      </c>
      <c r="E435" t="s">
        <v>228</v>
      </c>
      <c r="F435" t="s">
        <v>229</v>
      </c>
      <c r="G435" s="43">
        <v>0</v>
      </c>
      <c r="H435">
        <v>2006</v>
      </c>
    </row>
    <row r="436" spans="1:8">
      <c r="A436" t="s">
        <v>148</v>
      </c>
      <c r="B436">
        <v>51.868333333333332</v>
      </c>
      <c r="C436">
        <v>128.46</v>
      </c>
      <c r="D436" t="s">
        <v>103</v>
      </c>
      <c r="E436" t="s">
        <v>228</v>
      </c>
      <c r="F436" t="s">
        <v>229</v>
      </c>
      <c r="G436" s="43">
        <v>257</v>
      </c>
      <c r="H436">
        <v>2006</v>
      </c>
    </row>
    <row r="437" spans="1:8" ht="15">
      <c r="A437" t="s">
        <v>151</v>
      </c>
      <c r="B437">
        <v>52.263333333333335</v>
      </c>
      <c r="C437">
        <v>128.72166666666666</v>
      </c>
      <c r="D437" t="s">
        <v>66</v>
      </c>
      <c r="E437" t="s">
        <v>228</v>
      </c>
      <c r="F437" t="s">
        <v>229</v>
      </c>
      <c r="G437" s="44">
        <v>-81</v>
      </c>
      <c r="H437">
        <v>2006</v>
      </c>
    </row>
    <row r="438" spans="1:8">
      <c r="A438" t="s">
        <v>142</v>
      </c>
      <c r="B438">
        <v>51.363333333333337</v>
      </c>
      <c r="C438">
        <v>128.00166666666667</v>
      </c>
      <c r="D438" t="s">
        <v>66</v>
      </c>
      <c r="E438" t="s">
        <v>228</v>
      </c>
      <c r="F438" t="s">
        <v>229</v>
      </c>
      <c r="G438" s="43">
        <v>449</v>
      </c>
      <c r="H438">
        <v>2006</v>
      </c>
    </row>
    <row r="439" spans="1:8">
      <c r="A439" t="s">
        <v>154</v>
      </c>
      <c r="B439">
        <v>52.463333333333331</v>
      </c>
      <c r="C439">
        <v>129.37166666666667</v>
      </c>
      <c r="D439" t="s">
        <v>66</v>
      </c>
      <c r="E439" t="s">
        <v>228</v>
      </c>
      <c r="F439" t="s">
        <v>229</v>
      </c>
      <c r="G439" s="43">
        <v>92</v>
      </c>
      <c r="H439">
        <v>2006</v>
      </c>
    </row>
    <row r="440" spans="1:8">
      <c r="A440" t="s">
        <v>138</v>
      </c>
      <c r="B440">
        <v>51.28</v>
      </c>
      <c r="C440">
        <v>128.20333333333335</v>
      </c>
      <c r="D440" t="s">
        <v>103</v>
      </c>
      <c r="E440" t="s">
        <v>228</v>
      </c>
      <c r="F440" t="s">
        <v>229</v>
      </c>
      <c r="G440" s="43">
        <v>516</v>
      </c>
      <c r="H440">
        <v>2006</v>
      </c>
    </row>
    <row r="441" spans="1:8">
      <c r="A441" t="s">
        <v>26</v>
      </c>
      <c r="B441">
        <v>52.103333333333332</v>
      </c>
      <c r="C441">
        <v>131.24</v>
      </c>
      <c r="D441" t="s">
        <v>66</v>
      </c>
      <c r="E441" t="s">
        <v>231</v>
      </c>
      <c r="F441" t="s">
        <v>229</v>
      </c>
      <c r="G441" s="43">
        <v>513</v>
      </c>
      <c r="H441">
        <v>2006</v>
      </c>
    </row>
    <row r="442" spans="1:8">
      <c r="A442" t="s">
        <v>19</v>
      </c>
      <c r="B442">
        <v>51.911666666666669</v>
      </c>
      <c r="C442">
        <v>130.98166666666665</v>
      </c>
      <c r="D442" t="s">
        <v>103</v>
      </c>
      <c r="E442" t="s">
        <v>231</v>
      </c>
      <c r="F442" t="s">
        <v>229</v>
      </c>
      <c r="G442" s="43">
        <v>1094</v>
      </c>
      <c r="H442">
        <v>2006</v>
      </c>
    </row>
    <row r="443" spans="1:8">
      <c r="A443" t="s">
        <v>23</v>
      </c>
      <c r="B443">
        <v>53.376666666666665</v>
      </c>
      <c r="C443">
        <v>132.72166666666666</v>
      </c>
      <c r="D443" t="s">
        <v>51</v>
      </c>
      <c r="E443" t="s">
        <v>231</v>
      </c>
      <c r="F443" t="s">
        <v>229</v>
      </c>
      <c r="G443" s="43">
        <v>27</v>
      </c>
      <c r="H443">
        <v>2006</v>
      </c>
    </row>
    <row r="444" spans="1:8">
      <c r="A444" t="s">
        <v>215</v>
      </c>
      <c r="B444">
        <v>52.213333333333331</v>
      </c>
      <c r="C444">
        <v>130.96</v>
      </c>
      <c r="D444" t="s">
        <v>103</v>
      </c>
      <c r="E444" t="s">
        <v>231</v>
      </c>
      <c r="F444" t="s">
        <v>229</v>
      </c>
      <c r="G444" s="43">
        <v>261</v>
      </c>
      <c r="H444">
        <v>2006</v>
      </c>
    </row>
    <row r="445" spans="1:8">
      <c r="A445" t="s">
        <v>207</v>
      </c>
      <c r="B445">
        <v>53.813333333333333</v>
      </c>
      <c r="C445">
        <v>133.13333333333333</v>
      </c>
      <c r="D445" t="s">
        <v>66</v>
      </c>
      <c r="E445" t="s">
        <v>231</v>
      </c>
      <c r="F445" t="s">
        <v>229</v>
      </c>
      <c r="G445" s="43">
        <v>770</v>
      </c>
      <c r="H445">
        <v>2006</v>
      </c>
    </row>
    <row r="446" spans="1:8" ht="15">
      <c r="A446" t="s">
        <v>190</v>
      </c>
      <c r="B446">
        <v>52.336666666666666</v>
      </c>
      <c r="C446">
        <v>131.13166666666666</v>
      </c>
      <c r="D446" t="s">
        <v>66</v>
      </c>
      <c r="E446" t="s">
        <v>231</v>
      </c>
      <c r="F446" t="s">
        <v>229</v>
      </c>
      <c r="G446" s="44" t="s">
        <v>70</v>
      </c>
      <c r="H446">
        <v>2006</v>
      </c>
    </row>
    <row r="447" spans="1:8">
      <c r="A447" t="s">
        <v>25</v>
      </c>
      <c r="B447">
        <v>54.26</v>
      </c>
      <c r="C447">
        <v>133.01499999999999</v>
      </c>
      <c r="D447" t="s">
        <v>51</v>
      </c>
      <c r="E447" t="s">
        <v>231</v>
      </c>
      <c r="F447" t="s">
        <v>229</v>
      </c>
      <c r="G447" s="43">
        <v>484</v>
      </c>
      <c r="H447">
        <v>2006</v>
      </c>
    </row>
    <row r="448" spans="1:8">
      <c r="A448" t="s">
        <v>203</v>
      </c>
      <c r="B448">
        <v>53.204999999999998</v>
      </c>
      <c r="C448">
        <v>132.65166666666667</v>
      </c>
      <c r="D448" t="s">
        <v>66</v>
      </c>
      <c r="E448" t="s">
        <v>231</v>
      </c>
      <c r="F448" t="s">
        <v>229</v>
      </c>
      <c r="G448" s="43">
        <v>0</v>
      </c>
      <c r="H448">
        <v>2006</v>
      </c>
    </row>
    <row r="449" spans="1:8">
      <c r="A449" t="s">
        <v>21</v>
      </c>
      <c r="B449">
        <v>52.973333333333336</v>
      </c>
      <c r="C449">
        <v>132.36000000000001</v>
      </c>
      <c r="D449" t="s">
        <v>78</v>
      </c>
      <c r="E449" t="s">
        <v>231</v>
      </c>
      <c r="F449" t="s">
        <v>229</v>
      </c>
      <c r="G449" s="43">
        <v>1</v>
      </c>
      <c r="H449">
        <v>2006</v>
      </c>
    </row>
    <row r="450" spans="1:8">
      <c r="A450" t="s">
        <v>14</v>
      </c>
      <c r="B450">
        <v>52.87166666666667</v>
      </c>
      <c r="C450">
        <v>131.48500000000001</v>
      </c>
      <c r="D450" t="s">
        <v>66</v>
      </c>
      <c r="E450" t="s">
        <v>231</v>
      </c>
      <c r="F450" t="s">
        <v>229</v>
      </c>
      <c r="G450" s="43">
        <v>253</v>
      </c>
      <c r="H450">
        <v>2006</v>
      </c>
    </row>
    <row r="451" spans="1:8">
      <c r="A451" t="s">
        <v>13</v>
      </c>
      <c r="B451">
        <v>54.211666666666666</v>
      </c>
      <c r="C451">
        <v>131.61333333333334</v>
      </c>
      <c r="D451" t="s">
        <v>66</v>
      </c>
      <c r="E451" t="s">
        <v>231</v>
      </c>
      <c r="F451" t="s">
        <v>229</v>
      </c>
      <c r="G451" s="43">
        <v>30</v>
      </c>
      <c r="H451">
        <v>2006</v>
      </c>
    </row>
    <row r="452" spans="1:8">
      <c r="A452" t="s">
        <v>20</v>
      </c>
      <c r="B452">
        <v>52.703333333333333</v>
      </c>
      <c r="C452">
        <v>132.07499999999999</v>
      </c>
      <c r="D452" t="s">
        <v>66</v>
      </c>
      <c r="E452" t="s">
        <v>231</v>
      </c>
      <c r="F452" t="s">
        <v>229</v>
      </c>
      <c r="G452" s="43">
        <v>47</v>
      </c>
      <c r="H452">
        <v>2006</v>
      </c>
    </row>
    <row r="453" spans="1:8">
      <c r="A453" t="s">
        <v>187</v>
      </c>
      <c r="B453">
        <v>52.953333333333333</v>
      </c>
      <c r="C453">
        <v>131.55166666666668</v>
      </c>
      <c r="D453" t="s">
        <v>78</v>
      </c>
      <c r="E453" t="s">
        <v>231</v>
      </c>
      <c r="F453" t="s">
        <v>229</v>
      </c>
      <c r="G453" s="43">
        <v>0</v>
      </c>
      <c r="H453">
        <v>2006</v>
      </c>
    </row>
    <row r="454" spans="1:8">
      <c r="A454" t="s">
        <v>193</v>
      </c>
      <c r="B454">
        <v>52.543333333333337</v>
      </c>
      <c r="C454">
        <v>131.35666666666665</v>
      </c>
      <c r="D454" t="s">
        <v>66</v>
      </c>
      <c r="E454" t="s">
        <v>231</v>
      </c>
      <c r="F454" t="s">
        <v>229</v>
      </c>
      <c r="G454" s="43">
        <v>0</v>
      </c>
      <c r="H454">
        <v>2006</v>
      </c>
    </row>
    <row r="455" spans="1:8" ht="15">
      <c r="A455" t="s">
        <v>173</v>
      </c>
      <c r="B455">
        <v>53.466666666666669</v>
      </c>
      <c r="C455">
        <v>130.61333333333334</v>
      </c>
      <c r="D455" t="s">
        <v>103</v>
      </c>
      <c r="E455" t="s">
        <v>230</v>
      </c>
      <c r="F455" t="s">
        <v>229</v>
      </c>
      <c r="G455" s="44" t="s">
        <v>70</v>
      </c>
      <c r="H455">
        <v>2006</v>
      </c>
    </row>
    <row r="456" spans="1:8">
      <c r="A456" t="s">
        <v>180</v>
      </c>
      <c r="B456">
        <v>54.44166666666667</v>
      </c>
      <c r="C456">
        <v>130.98666666666668</v>
      </c>
      <c r="D456" t="s">
        <v>66</v>
      </c>
      <c r="E456" t="s">
        <v>230</v>
      </c>
      <c r="F456" t="s">
        <v>229</v>
      </c>
      <c r="G456" s="43">
        <v>1094</v>
      </c>
      <c r="H456">
        <v>2006</v>
      </c>
    </row>
    <row r="457" spans="1:8">
      <c r="A457" t="s">
        <v>163</v>
      </c>
      <c r="B457">
        <v>52.736666666666665</v>
      </c>
      <c r="C457">
        <v>129.53</v>
      </c>
      <c r="D457" t="s">
        <v>66</v>
      </c>
      <c r="E457" t="s">
        <v>230</v>
      </c>
      <c r="F457" t="s">
        <v>229</v>
      </c>
      <c r="G457" s="43">
        <v>30</v>
      </c>
      <c r="H457">
        <v>2006</v>
      </c>
    </row>
    <row r="458" spans="1:8">
      <c r="A458" t="s">
        <v>166</v>
      </c>
      <c r="B458">
        <v>53.145000000000003</v>
      </c>
      <c r="C458">
        <v>130.04166666666666</v>
      </c>
      <c r="D458" t="s">
        <v>66</v>
      </c>
      <c r="E458" t="s">
        <v>230</v>
      </c>
      <c r="F458" t="s">
        <v>229</v>
      </c>
      <c r="G458" s="43">
        <v>253</v>
      </c>
      <c r="H458">
        <v>2006</v>
      </c>
    </row>
    <row r="459" spans="1:8">
      <c r="A459" t="s">
        <v>170</v>
      </c>
      <c r="B459">
        <v>53.255000000000003</v>
      </c>
      <c r="C459">
        <v>130.34166666666667</v>
      </c>
      <c r="D459" t="s">
        <v>103</v>
      </c>
      <c r="E459" t="s">
        <v>230</v>
      </c>
      <c r="F459" t="s">
        <v>229</v>
      </c>
      <c r="G459" s="43">
        <v>0</v>
      </c>
      <c r="H459">
        <v>2006</v>
      </c>
    </row>
    <row r="460" spans="1:8">
      <c r="A460" t="s">
        <v>176</v>
      </c>
      <c r="B460">
        <v>54.064999999999998</v>
      </c>
      <c r="C460">
        <v>130.85166666666666</v>
      </c>
      <c r="D460" t="s">
        <v>66</v>
      </c>
      <c r="E460" t="s">
        <v>230</v>
      </c>
      <c r="F460" t="s">
        <v>229</v>
      </c>
      <c r="G460" s="43">
        <v>0</v>
      </c>
      <c r="H460">
        <v>2006</v>
      </c>
    </row>
    <row r="461" spans="1:8">
      <c r="A461" t="s">
        <v>115</v>
      </c>
      <c r="B461">
        <v>50.94166666666667</v>
      </c>
      <c r="C461">
        <v>127.92</v>
      </c>
      <c r="D461" t="s">
        <v>51</v>
      </c>
      <c r="E461" t="s">
        <v>223</v>
      </c>
      <c r="F461" t="s">
        <v>227</v>
      </c>
      <c r="G461" s="43">
        <v>786</v>
      </c>
      <c r="H461">
        <v>2006</v>
      </c>
    </row>
    <row r="462" spans="1:8">
      <c r="A462" t="s">
        <v>118</v>
      </c>
      <c r="B462">
        <v>50.94166666666667</v>
      </c>
      <c r="C462">
        <v>127.65666666666667</v>
      </c>
      <c r="D462" t="s">
        <v>51</v>
      </c>
      <c r="E462" t="s">
        <v>223</v>
      </c>
      <c r="F462" t="s">
        <v>227</v>
      </c>
      <c r="G462" s="43">
        <v>2</v>
      </c>
      <c r="H462">
        <v>2006</v>
      </c>
    </row>
    <row r="463" spans="1:8">
      <c r="A463" t="s">
        <v>123</v>
      </c>
      <c r="B463">
        <v>50.74666666666667</v>
      </c>
      <c r="C463">
        <v>126.72166666666666</v>
      </c>
      <c r="D463" t="s">
        <v>66</v>
      </c>
      <c r="E463" t="s">
        <v>223</v>
      </c>
      <c r="F463" t="s">
        <v>227</v>
      </c>
      <c r="G463" s="43">
        <v>0</v>
      </c>
      <c r="H463">
        <v>2006</v>
      </c>
    </row>
    <row r="464" spans="1:8">
      <c r="A464" t="s">
        <v>120</v>
      </c>
      <c r="B464">
        <v>50.91</v>
      </c>
      <c r="C464">
        <v>127.44166666666666</v>
      </c>
      <c r="D464" t="s">
        <v>51</v>
      </c>
      <c r="E464" t="s">
        <v>223</v>
      </c>
      <c r="F464" t="s">
        <v>227</v>
      </c>
      <c r="G464" s="43">
        <v>0</v>
      </c>
      <c r="H464">
        <v>2006</v>
      </c>
    </row>
    <row r="465" spans="1:8">
      <c r="A465" t="s">
        <v>104</v>
      </c>
      <c r="B465">
        <v>50.791666666666664</v>
      </c>
      <c r="C465">
        <v>128.77000000000001</v>
      </c>
      <c r="D465" t="s">
        <v>66</v>
      </c>
      <c r="E465" t="s">
        <v>222</v>
      </c>
      <c r="F465" t="s">
        <v>227</v>
      </c>
      <c r="G465" s="43">
        <v>13</v>
      </c>
      <c r="H465">
        <v>2006</v>
      </c>
    </row>
    <row r="466" spans="1:8">
      <c r="A466" t="s">
        <v>100</v>
      </c>
      <c r="B466">
        <v>50.801666666666669</v>
      </c>
      <c r="C466">
        <v>128.78</v>
      </c>
      <c r="D466" t="s">
        <v>103</v>
      </c>
      <c r="E466" t="s">
        <v>222</v>
      </c>
      <c r="F466" t="s">
        <v>227</v>
      </c>
      <c r="G466" s="43">
        <v>590</v>
      </c>
      <c r="H466">
        <v>2006</v>
      </c>
    </row>
    <row r="467" spans="1:8">
      <c r="A467" t="s">
        <v>107</v>
      </c>
      <c r="B467">
        <v>50.82</v>
      </c>
      <c r="C467">
        <v>128.90333333333334</v>
      </c>
      <c r="D467" t="s">
        <v>103</v>
      </c>
      <c r="E467" t="s">
        <v>222</v>
      </c>
      <c r="F467" t="s">
        <v>227</v>
      </c>
      <c r="G467" s="43">
        <v>379</v>
      </c>
      <c r="H467">
        <v>2006</v>
      </c>
    </row>
    <row r="468" spans="1:8">
      <c r="A468" t="s">
        <v>110</v>
      </c>
      <c r="B468">
        <v>50.87166666666667</v>
      </c>
      <c r="C468">
        <v>129.07666666666665</v>
      </c>
      <c r="D468" t="s">
        <v>103</v>
      </c>
      <c r="E468" t="s">
        <v>222</v>
      </c>
      <c r="F468" t="s">
        <v>227</v>
      </c>
      <c r="G468" s="43">
        <v>3576</v>
      </c>
      <c r="H468">
        <v>2006</v>
      </c>
    </row>
    <row r="469" spans="1:8">
      <c r="A469" t="s">
        <v>82</v>
      </c>
      <c r="B469">
        <v>50.011666666666663</v>
      </c>
      <c r="C469">
        <v>127.52666666666667</v>
      </c>
      <c r="D469" t="s">
        <v>66</v>
      </c>
      <c r="E469" t="s">
        <v>128</v>
      </c>
      <c r="F469" t="s">
        <v>227</v>
      </c>
      <c r="G469" s="43">
        <v>542</v>
      </c>
      <c r="H469">
        <v>2006</v>
      </c>
    </row>
    <row r="470" spans="1:8">
      <c r="A470" t="s">
        <v>94</v>
      </c>
      <c r="B470">
        <v>50.784999999999997</v>
      </c>
      <c r="C470">
        <v>128.41999999999999</v>
      </c>
      <c r="D470" t="s">
        <v>78</v>
      </c>
      <c r="E470" t="s">
        <v>128</v>
      </c>
      <c r="F470" t="s">
        <v>227</v>
      </c>
      <c r="G470" s="43">
        <v>0</v>
      </c>
      <c r="H470">
        <v>2006</v>
      </c>
    </row>
    <row r="471" spans="1:8">
      <c r="A471" t="s">
        <v>46</v>
      </c>
      <c r="B471">
        <v>48.615000000000002</v>
      </c>
      <c r="C471">
        <v>124.76166666666667</v>
      </c>
      <c r="D471" t="s">
        <v>51</v>
      </c>
      <c r="E471" t="s">
        <v>128</v>
      </c>
      <c r="F471" t="s">
        <v>227</v>
      </c>
      <c r="G471" s="43">
        <v>247</v>
      </c>
      <c r="H471">
        <v>2006</v>
      </c>
    </row>
    <row r="472" spans="1:8">
      <c r="A472" t="s">
        <v>67</v>
      </c>
      <c r="B472">
        <v>49.171666666666667</v>
      </c>
      <c r="C472">
        <v>125.09166666666667</v>
      </c>
      <c r="D472" t="s">
        <v>66</v>
      </c>
      <c r="E472" t="s">
        <v>128</v>
      </c>
      <c r="F472" t="s">
        <v>227</v>
      </c>
      <c r="G472" s="43">
        <v>0</v>
      </c>
      <c r="H472">
        <v>2006</v>
      </c>
    </row>
    <row r="473" spans="1:8">
      <c r="A473" t="s">
        <v>79</v>
      </c>
      <c r="B473">
        <v>49.743333333333332</v>
      </c>
      <c r="C473">
        <v>126.97833333333334</v>
      </c>
      <c r="D473" t="s">
        <v>51</v>
      </c>
      <c r="E473" t="s">
        <v>128</v>
      </c>
      <c r="F473" t="s">
        <v>227</v>
      </c>
      <c r="G473" s="43">
        <v>16</v>
      </c>
      <c r="H473">
        <v>2006</v>
      </c>
    </row>
    <row r="474" spans="1:8">
      <c r="A474" t="s">
        <v>62</v>
      </c>
      <c r="B474">
        <v>49.038333333333334</v>
      </c>
      <c r="C474">
        <v>125.71833333333333</v>
      </c>
      <c r="D474" t="s">
        <v>66</v>
      </c>
      <c r="E474" t="s">
        <v>128</v>
      </c>
      <c r="F474" t="s">
        <v>227</v>
      </c>
      <c r="G474" s="43">
        <v>388</v>
      </c>
      <c r="H474">
        <v>2006</v>
      </c>
    </row>
    <row r="475" spans="1:8">
      <c r="A475" t="s">
        <v>59</v>
      </c>
      <c r="B475">
        <v>48.875</v>
      </c>
      <c r="C475">
        <v>125.47833333333334</v>
      </c>
      <c r="D475" t="s">
        <v>51</v>
      </c>
      <c r="E475" t="s">
        <v>128</v>
      </c>
      <c r="F475" t="s">
        <v>227</v>
      </c>
      <c r="G475" s="43">
        <v>264</v>
      </c>
      <c r="H475">
        <v>2006</v>
      </c>
    </row>
    <row r="476" spans="1:8">
      <c r="A476" t="s">
        <v>87</v>
      </c>
      <c r="B476">
        <v>50.101666666666667</v>
      </c>
      <c r="C476">
        <v>127.64666666666666</v>
      </c>
      <c r="D476" t="s">
        <v>90</v>
      </c>
      <c r="E476" t="s">
        <v>128</v>
      </c>
      <c r="F476" t="s">
        <v>227</v>
      </c>
      <c r="G476" s="43">
        <v>141</v>
      </c>
      <c r="H476">
        <v>2006</v>
      </c>
    </row>
    <row r="477" spans="1:8">
      <c r="A477" t="s">
        <v>52</v>
      </c>
      <c r="B477">
        <v>48.723333333333336</v>
      </c>
      <c r="C477">
        <v>125.105</v>
      </c>
      <c r="D477" t="s">
        <v>51</v>
      </c>
      <c r="E477" t="s">
        <v>128</v>
      </c>
      <c r="F477" t="s">
        <v>227</v>
      </c>
      <c r="G477" s="43">
        <v>44</v>
      </c>
      <c r="H477">
        <v>2006</v>
      </c>
    </row>
    <row r="478" spans="1:8">
      <c r="A478" t="s">
        <v>71</v>
      </c>
      <c r="B478">
        <v>49.403333333333336</v>
      </c>
      <c r="C478">
        <v>126.58333333333333</v>
      </c>
      <c r="D478" t="s">
        <v>66</v>
      </c>
      <c r="E478" t="s">
        <v>128</v>
      </c>
      <c r="F478" t="s">
        <v>227</v>
      </c>
      <c r="G478" s="43">
        <v>353</v>
      </c>
      <c r="H478">
        <v>2006</v>
      </c>
    </row>
    <row r="479" spans="1:8">
      <c r="A479" t="s">
        <v>75</v>
      </c>
      <c r="B479">
        <v>49.30833333333333</v>
      </c>
      <c r="C479">
        <v>126.22833333333334</v>
      </c>
      <c r="D479" t="s">
        <v>78</v>
      </c>
      <c r="E479" t="s">
        <v>128</v>
      </c>
      <c r="F479" t="s">
        <v>227</v>
      </c>
      <c r="G479" s="43">
        <v>0</v>
      </c>
      <c r="H479">
        <v>2006</v>
      </c>
    </row>
    <row r="480" spans="1:8">
      <c r="A480" t="s">
        <v>91</v>
      </c>
      <c r="B480">
        <v>50.111666666666665</v>
      </c>
      <c r="C480">
        <v>127.94</v>
      </c>
      <c r="D480" t="s">
        <v>51</v>
      </c>
      <c r="E480" t="s">
        <v>128</v>
      </c>
      <c r="F480" t="s">
        <v>227</v>
      </c>
      <c r="G480" s="43">
        <v>876</v>
      </c>
      <c r="H480">
        <v>2006</v>
      </c>
    </row>
    <row r="481" spans="1:8">
      <c r="A481" t="s">
        <v>56</v>
      </c>
      <c r="B481">
        <v>48.86333333333333</v>
      </c>
      <c r="C481">
        <v>125.35833333333333</v>
      </c>
      <c r="D481" t="s">
        <v>51</v>
      </c>
      <c r="E481" t="s">
        <v>128</v>
      </c>
      <c r="F481" t="s">
        <v>227</v>
      </c>
      <c r="G481" s="43">
        <v>4</v>
      </c>
      <c r="H481">
        <v>2006</v>
      </c>
    </row>
    <row r="482" spans="1:8">
      <c r="A482" t="s">
        <v>157</v>
      </c>
      <c r="B482">
        <v>53.05</v>
      </c>
      <c r="C482">
        <v>129.21166666666667</v>
      </c>
      <c r="D482" t="s">
        <v>66</v>
      </c>
      <c r="E482" t="s">
        <v>228</v>
      </c>
      <c r="F482" t="s">
        <v>229</v>
      </c>
      <c r="G482">
        <v>0</v>
      </c>
      <c r="H482">
        <v>2008</v>
      </c>
    </row>
    <row r="483" spans="1:8">
      <c r="A483" t="s">
        <v>145</v>
      </c>
      <c r="B483">
        <v>51.80833333333333</v>
      </c>
      <c r="C483">
        <v>128.25333333333333</v>
      </c>
      <c r="D483" t="s">
        <v>66</v>
      </c>
      <c r="E483" t="s">
        <v>228</v>
      </c>
      <c r="F483" t="s">
        <v>229</v>
      </c>
      <c r="G483">
        <v>0</v>
      </c>
      <c r="H483">
        <v>2008</v>
      </c>
    </row>
    <row r="484" spans="1:8">
      <c r="A484" t="s">
        <v>148</v>
      </c>
      <c r="B484">
        <v>51.868333333333332</v>
      </c>
      <c r="C484">
        <v>128.46</v>
      </c>
      <c r="D484" t="s">
        <v>103</v>
      </c>
      <c r="E484" t="s">
        <v>228</v>
      </c>
      <c r="F484" t="s">
        <v>229</v>
      </c>
      <c r="G484">
        <v>308</v>
      </c>
      <c r="H484">
        <v>2008</v>
      </c>
    </row>
    <row r="485" spans="1:8">
      <c r="A485" t="s">
        <v>151</v>
      </c>
      <c r="B485">
        <v>52.263333333333335</v>
      </c>
      <c r="C485">
        <v>128.72166666666666</v>
      </c>
      <c r="D485" t="s">
        <v>66</v>
      </c>
      <c r="E485" t="s">
        <v>228</v>
      </c>
      <c r="F485" t="s">
        <v>229</v>
      </c>
      <c r="G485">
        <v>263</v>
      </c>
      <c r="H485">
        <v>2008</v>
      </c>
    </row>
    <row r="486" spans="1:8">
      <c r="A486" t="s">
        <v>142</v>
      </c>
      <c r="B486">
        <v>51.363333333333337</v>
      </c>
      <c r="C486">
        <v>128.00166666666667</v>
      </c>
      <c r="D486" t="s">
        <v>66</v>
      </c>
      <c r="E486" t="s">
        <v>228</v>
      </c>
      <c r="F486" t="s">
        <v>229</v>
      </c>
      <c r="G486">
        <v>247</v>
      </c>
      <c r="H486">
        <v>2008</v>
      </c>
    </row>
    <row r="487" spans="1:8">
      <c r="A487" t="s">
        <v>154</v>
      </c>
      <c r="B487">
        <v>52.463333333333331</v>
      </c>
      <c r="C487">
        <v>129.37166666666667</v>
      </c>
      <c r="D487" t="s">
        <v>66</v>
      </c>
      <c r="E487" t="s">
        <v>228</v>
      </c>
      <c r="F487" t="s">
        <v>229</v>
      </c>
      <c r="G487">
        <v>194</v>
      </c>
      <c r="H487">
        <v>2008</v>
      </c>
    </row>
    <row r="488" spans="1:8">
      <c r="A488" t="s">
        <v>138</v>
      </c>
      <c r="B488">
        <v>51.28</v>
      </c>
      <c r="C488">
        <v>128.20333333333335</v>
      </c>
      <c r="D488" t="s">
        <v>103</v>
      </c>
      <c r="E488" t="s">
        <v>228</v>
      </c>
      <c r="F488" t="s">
        <v>229</v>
      </c>
      <c r="G488">
        <v>595</v>
      </c>
      <c r="H488">
        <v>2008</v>
      </c>
    </row>
    <row r="489" spans="1:8">
      <c r="A489" t="s">
        <v>26</v>
      </c>
      <c r="B489">
        <v>52.103333333333332</v>
      </c>
      <c r="C489">
        <v>131.24</v>
      </c>
      <c r="D489" t="s">
        <v>66</v>
      </c>
      <c r="E489" t="s">
        <v>231</v>
      </c>
      <c r="F489" t="s">
        <v>229</v>
      </c>
      <c r="G489">
        <v>473</v>
      </c>
      <c r="H489">
        <v>2008</v>
      </c>
    </row>
    <row r="490" spans="1:8">
      <c r="A490" t="s">
        <v>19</v>
      </c>
      <c r="B490">
        <v>51.911666666666669</v>
      </c>
      <c r="C490">
        <v>130.98166666666665</v>
      </c>
      <c r="D490" t="s">
        <v>103</v>
      </c>
      <c r="E490" t="s">
        <v>231</v>
      </c>
      <c r="F490" t="s">
        <v>229</v>
      </c>
      <c r="G490">
        <v>811</v>
      </c>
      <c r="H490">
        <v>2008</v>
      </c>
    </row>
    <row r="491" spans="1:8">
      <c r="A491" t="s">
        <v>23</v>
      </c>
      <c r="B491">
        <v>53.376666666666665</v>
      </c>
      <c r="C491">
        <v>132.72166666666666</v>
      </c>
      <c r="D491" t="s">
        <v>51</v>
      </c>
      <c r="E491" t="s">
        <v>231</v>
      </c>
      <c r="F491" t="s">
        <v>229</v>
      </c>
      <c r="G491">
        <v>85</v>
      </c>
      <c r="H491">
        <v>2008</v>
      </c>
    </row>
    <row r="492" spans="1:8">
      <c r="A492" t="s">
        <v>215</v>
      </c>
      <c r="B492">
        <v>52.213333333333331</v>
      </c>
      <c r="C492">
        <v>130.96</v>
      </c>
      <c r="D492" t="s">
        <v>103</v>
      </c>
      <c r="E492" t="s">
        <v>231</v>
      </c>
      <c r="F492" t="s">
        <v>229</v>
      </c>
      <c r="G492">
        <v>305</v>
      </c>
      <c r="H492">
        <v>2008</v>
      </c>
    </row>
    <row r="493" spans="1:8" ht="15">
      <c r="A493" t="s">
        <v>207</v>
      </c>
      <c r="B493">
        <v>53.813333333333333</v>
      </c>
      <c r="C493">
        <v>133.13333333333333</v>
      </c>
      <c r="D493" t="s">
        <v>66</v>
      </c>
      <c r="E493" t="s">
        <v>231</v>
      </c>
      <c r="F493" t="s">
        <v>229</v>
      </c>
      <c r="G493" s="44">
        <v>-511</v>
      </c>
      <c r="H493">
        <v>2008</v>
      </c>
    </row>
    <row r="494" spans="1:8">
      <c r="A494" t="s">
        <v>190</v>
      </c>
      <c r="B494">
        <v>52.336666666666666</v>
      </c>
      <c r="C494">
        <v>131.13166666666666</v>
      </c>
      <c r="D494" t="s">
        <v>66</v>
      </c>
      <c r="E494" t="s">
        <v>231</v>
      </c>
      <c r="F494" t="s">
        <v>229</v>
      </c>
      <c r="G494">
        <v>53</v>
      </c>
      <c r="H494">
        <v>2008</v>
      </c>
    </row>
    <row r="495" spans="1:8" ht="15">
      <c r="A495" t="s">
        <v>25</v>
      </c>
      <c r="B495">
        <v>54.26</v>
      </c>
      <c r="C495">
        <v>133.01499999999999</v>
      </c>
      <c r="D495" t="s">
        <v>51</v>
      </c>
      <c r="E495" t="s">
        <v>231</v>
      </c>
      <c r="F495" t="s">
        <v>229</v>
      </c>
      <c r="G495" s="44">
        <v>-218</v>
      </c>
      <c r="H495">
        <v>2008</v>
      </c>
    </row>
    <row r="496" spans="1:8">
      <c r="A496" t="s">
        <v>203</v>
      </c>
      <c r="B496">
        <v>53.204999999999998</v>
      </c>
      <c r="C496">
        <v>132.65166666666667</v>
      </c>
      <c r="D496" t="s">
        <v>66</v>
      </c>
      <c r="E496" t="s">
        <v>231</v>
      </c>
      <c r="F496" t="s">
        <v>229</v>
      </c>
      <c r="G496">
        <v>0</v>
      </c>
      <c r="H496">
        <v>2008</v>
      </c>
    </row>
    <row r="497" spans="1:8">
      <c r="A497" t="s">
        <v>21</v>
      </c>
      <c r="B497">
        <v>52.973333333333336</v>
      </c>
      <c r="C497">
        <v>132.36000000000001</v>
      </c>
      <c r="D497" t="s">
        <v>78</v>
      </c>
      <c r="E497" t="s">
        <v>231</v>
      </c>
      <c r="F497" t="s">
        <v>229</v>
      </c>
      <c r="G497">
        <v>0</v>
      </c>
      <c r="H497">
        <v>2008</v>
      </c>
    </row>
    <row r="498" spans="1:8">
      <c r="A498" t="s">
        <v>14</v>
      </c>
      <c r="B498">
        <v>52.87166666666667</v>
      </c>
      <c r="C498">
        <v>131.48500000000001</v>
      </c>
      <c r="D498" t="s">
        <v>66</v>
      </c>
      <c r="E498" t="s">
        <v>231</v>
      </c>
      <c r="F498" t="s">
        <v>229</v>
      </c>
      <c r="G498">
        <v>294</v>
      </c>
      <c r="H498">
        <v>2008</v>
      </c>
    </row>
    <row r="499" spans="1:8">
      <c r="A499" t="s">
        <v>13</v>
      </c>
      <c r="B499">
        <v>54.211666666666666</v>
      </c>
      <c r="C499">
        <v>131.61333333333334</v>
      </c>
      <c r="D499" t="s">
        <v>66</v>
      </c>
      <c r="E499" t="s">
        <v>231</v>
      </c>
      <c r="F499" t="s">
        <v>229</v>
      </c>
      <c r="G499">
        <v>132</v>
      </c>
      <c r="H499">
        <v>2008</v>
      </c>
    </row>
    <row r="500" spans="1:8">
      <c r="A500" t="s">
        <v>20</v>
      </c>
      <c r="B500">
        <v>52.703333333333333</v>
      </c>
      <c r="C500">
        <v>132.07499999999999</v>
      </c>
      <c r="D500" t="s">
        <v>66</v>
      </c>
      <c r="E500" t="s">
        <v>231</v>
      </c>
      <c r="F500" t="s">
        <v>229</v>
      </c>
      <c r="G500">
        <v>98</v>
      </c>
      <c r="H500">
        <v>2008</v>
      </c>
    </row>
    <row r="501" spans="1:8">
      <c r="A501" t="s">
        <v>187</v>
      </c>
      <c r="B501">
        <v>52.953333333333333</v>
      </c>
      <c r="C501">
        <v>131.55166666666668</v>
      </c>
      <c r="D501" t="s">
        <v>78</v>
      </c>
      <c r="E501" t="s">
        <v>231</v>
      </c>
      <c r="F501" t="s">
        <v>229</v>
      </c>
      <c r="G501">
        <v>0</v>
      </c>
      <c r="H501">
        <v>2008</v>
      </c>
    </row>
    <row r="502" spans="1:8">
      <c r="A502" t="s">
        <v>193</v>
      </c>
      <c r="B502">
        <v>52.543333333333337</v>
      </c>
      <c r="C502">
        <v>131.35666666666665</v>
      </c>
      <c r="D502" t="s">
        <v>66</v>
      </c>
      <c r="E502" t="s">
        <v>231</v>
      </c>
      <c r="F502" t="s">
        <v>229</v>
      </c>
      <c r="G502">
        <v>0</v>
      </c>
      <c r="H502">
        <v>2008</v>
      </c>
    </row>
    <row r="503" spans="1:8">
      <c r="A503" t="s">
        <v>173</v>
      </c>
      <c r="B503">
        <v>53.466666666666669</v>
      </c>
      <c r="C503">
        <v>130.61333333333334</v>
      </c>
      <c r="D503" t="s">
        <v>103</v>
      </c>
      <c r="E503" t="s">
        <v>230</v>
      </c>
      <c r="F503" t="s">
        <v>229</v>
      </c>
      <c r="G503">
        <v>53</v>
      </c>
      <c r="H503">
        <v>2008</v>
      </c>
    </row>
    <row r="504" spans="1:8">
      <c r="A504" t="s">
        <v>180</v>
      </c>
      <c r="B504">
        <v>54.44166666666667</v>
      </c>
      <c r="C504">
        <v>130.98666666666668</v>
      </c>
      <c r="D504" t="s">
        <v>66</v>
      </c>
      <c r="E504" t="s">
        <v>230</v>
      </c>
      <c r="F504" t="s">
        <v>229</v>
      </c>
      <c r="G504">
        <v>811</v>
      </c>
      <c r="H504">
        <v>2008</v>
      </c>
    </row>
    <row r="505" spans="1:8">
      <c r="A505" t="s">
        <v>163</v>
      </c>
      <c r="B505">
        <v>52.736666666666665</v>
      </c>
      <c r="C505">
        <v>129.53</v>
      </c>
      <c r="D505" t="s">
        <v>66</v>
      </c>
      <c r="E505" t="s">
        <v>230</v>
      </c>
      <c r="F505" t="s">
        <v>229</v>
      </c>
      <c r="G505">
        <v>132</v>
      </c>
      <c r="H505">
        <v>2008</v>
      </c>
    </row>
    <row r="506" spans="1:8">
      <c r="A506" t="s">
        <v>166</v>
      </c>
      <c r="B506">
        <v>53.145000000000003</v>
      </c>
      <c r="C506">
        <v>130.04166666666666</v>
      </c>
      <c r="D506" t="s">
        <v>66</v>
      </c>
      <c r="E506" t="s">
        <v>230</v>
      </c>
      <c r="F506" t="s">
        <v>229</v>
      </c>
      <c r="G506">
        <v>294</v>
      </c>
      <c r="H506">
        <v>2008</v>
      </c>
    </row>
    <row r="507" spans="1:8">
      <c r="A507" t="s">
        <v>170</v>
      </c>
      <c r="B507">
        <v>53.255000000000003</v>
      </c>
      <c r="C507">
        <v>130.34166666666667</v>
      </c>
      <c r="D507" t="s">
        <v>103</v>
      </c>
      <c r="E507" t="s">
        <v>230</v>
      </c>
      <c r="F507" t="s">
        <v>229</v>
      </c>
      <c r="G507">
        <v>0</v>
      </c>
      <c r="H507">
        <v>2008</v>
      </c>
    </row>
    <row r="508" spans="1:8">
      <c r="A508" t="s">
        <v>176</v>
      </c>
      <c r="B508">
        <v>54.064999999999998</v>
      </c>
      <c r="C508">
        <v>130.85166666666666</v>
      </c>
      <c r="D508" t="s">
        <v>66</v>
      </c>
      <c r="E508" t="s">
        <v>230</v>
      </c>
      <c r="F508" t="s">
        <v>229</v>
      </c>
      <c r="G508">
        <v>0</v>
      </c>
      <c r="H508">
        <v>2008</v>
      </c>
    </row>
    <row r="509" spans="1:8">
      <c r="A509" t="s">
        <v>115</v>
      </c>
      <c r="B509">
        <v>50.94166666666667</v>
      </c>
      <c r="C509">
        <v>127.92</v>
      </c>
      <c r="D509" t="s">
        <v>51</v>
      </c>
      <c r="E509" t="s">
        <v>223</v>
      </c>
      <c r="F509" t="s">
        <v>227</v>
      </c>
      <c r="G509">
        <v>541</v>
      </c>
      <c r="H509">
        <v>2008</v>
      </c>
    </row>
    <row r="510" spans="1:8">
      <c r="A510" t="s">
        <v>118</v>
      </c>
      <c r="B510">
        <v>50.94166666666667</v>
      </c>
      <c r="C510">
        <v>127.65666666666667</v>
      </c>
      <c r="D510" t="s">
        <v>51</v>
      </c>
      <c r="E510" t="s">
        <v>223</v>
      </c>
      <c r="F510" t="s">
        <v>227</v>
      </c>
      <c r="G510">
        <v>0</v>
      </c>
      <c r="H510">
        <v>2008</v>
      </c>
    </row>
    <row r="511" spans="1:8">
      <c r="A511" t="s">
        <v>123</v>
      </c>
      <c r="B511">
        <v>50.74666666666667</v>
      </c>
      <c r="C511">
        <v>126.72166666666666</v>
      </c>
      <c r="D511" t="s">
        <v>66</v>
      </c>
      <c r="E511" t="s">
        <v>223</v>
      </c>
      <c r="F511" t="s">
        <v>227</v>
      </c>
      <c r="G511">
        <v>0</v>
      </c>
      <c r="H511">
        <v>2008</v>
      </c>
    </row>
    <row r="512" spans="1:8">
      <c r="A512" t="s">
        <v>120</v>
      </c>
      <c r="B512">
        <v>50.91</v>
      </c>
      <c r="C512">
        <v>127.44166666666666</v>
      </c>
      <c r="D512" t="s">
        <v>51</v>
      </c>
      <c r="E512" t="s">
        <v>223</v>
      </c>
      <c r="F512" t="s">
        <v>227</v>
      </c>
      <c r="G512">
        <v>151</v>
      </c>
      <c r="H512">
        <v>2008</v>
      </c>
    </row>
    <row r="513" spans="1:8">
      <c r="A513" t="s">
        <v>104</v>
      </c>
      <c r="B513">
        <v>50.791666666666664</v>
      </c>
      <c r="C513">
        <v>128.77000000000001</v>
      </c>
      <c r="D513" t="s">
        <v>66</v>
      </c>
      <c r="E513" t="s">
        <v>222</v>
      </c>
      <c r="F513" t="s">
        <v>227</v>
      </c>
      <c r="G513">
        <v>397</v>
      </c>
      <c r="H513">
        <v>2008</v>
      </c>
    </row>
    <row r="514" spans="1:8">
      <c r="A514" t="s">
        <v>100</v>
      </c>
      <c r="B514">
        <v>50.801666666666669</v>
      </c>
      <c r="C514">
        <v>128.78</v>
      </c>
      <c r="D514" t="s">
        <v>103</v>
      </c>
      <c r="E514" t="s">
        <v>222</v>
      </c>
      <c r="F514" t="s">
        <v>227</v>
      </c>
      <c r="G514">
        <v>362</v>
      </c>
      <c r="H514">
        <v>2008</v>
      </c>
    </row>
    <row r="515" spans="1:8">
      <c r="A515" t="s">
        <v>107</v>
      </c>
      <c r="B515">
        <v>50.82</v>
      </c>
      <c r="C515">
        <v>128.90333333333334</v>
      </c>
      <c r="D515" t="s">
        <v>103</v>
      </c>
      <c r="E515" t="s">
        <v>222</v>
      </c>
      <c r="F515" t="s">
        <v>227</v>
      </c>
      <c r="G515">
        <v>264</v>
      </c>
      <c r="H515">
        <v>2008</v>
      </c>
    </row>
    <row r="516" spans="1:8">
      <c r="A516" t="s">
        <v>110</v>
      </c>
      <c r="B516">
        <v>50.87166666666667</v>
      </c>
      <c r="C516">
        <v>129.07666666666665</v>
      </c>
      <c r="D516" t="s">
        <v>103</v>
      </c>
      <c r="E516" t="s">
        <v>222</v>
      </c>
      <c r="F516" t="s">
        <v>227</v>
      </c>
      <c r="G516">
        <v>3645</v>
      </c>
      <c r="H516">
        <v>2008</v>
      </c>
    </row>
    <row r="517" spans="1:8">
      <c r="A517" t="s">
        <v>82</v>
      </c>
      <c r="B517">
        <v>50.011666666666663</v>
      </c>
      <c r="C517">
        <v>127.52666666666667</v>
      </c>
      <c r="D517" t="s">
        <v>66</v>
      </c>
      <c r="E517" t="s">
        <v>128</v>
      </c>
      <c r="F517" t="s">
        <v>227</v>
      </c>
      <c r="G517">
        <v>1051</v>
      </c>
      <c r="H517">
        <v>2008</v>
      </c>
    </row>
    <row r="518" spans="1:8">
      <c r="A518" t="s">
        <v>94</v>
      </c>
      <c r="B518">
        <v>50.784999999999997</v>
      </c>
      <c r="C518">
        <v>128.41999999999999</v>
      </c>
      <c r="D518" t="s">
        <v>78</v>
      </c>
      <c r="E518" t="s">
        <v>128</v>
      </c>
      <c r="F518" t="s">
        <v>227</v>
      </c>
      <c r="G518">
        <v>0</v>
      </c>
      <c r="H518">
        <v>2008</v>
      </c>
    </row>
    <row r="519" spans="1:8">
      <c r="A519" t="s">
        <v>46</v>
      </c>
      <c r="B519">
        <v>48.615000000000002</v>
      </c>
      <c r="C519">
        <v>124.76166666666667</v>
      </c>
      <c r="D519" t="s">
        <v>51</v>
      </c>
      <c r="E519" t="s">
        <v>128</v>
      </c>
      <c r="F519" t="s">
        <v>227</v>
      </c>
      <c r="G519">
        <v>162</v>
      </c>
      <c r="H519">
        <v>2008</v>
      </c>
    </row>
    <row r="520" spans="1:8">
      <c r="A520" t="s">
        <v>67</v>
      </c>
      <c r="B520">
        <v>49.171666666666667</v>
      </c>
      <c r="C520">
        <v>125.09166666666667</v>
      </c>
      <c r="D520" t="s">
        <v>66</v>
      </c>
      <c r="E520" t="s">
        <v>128</v>
      </c>
      <c r="F520" t="s">
        <v>227</v>
      </c>
      <c r="G520">
        <v>0</v>
      </c>
      <c r="H520">
        <v>2008</v>
      </c>
    </row>
    <row r="521" spans="1:8">
      <c r="A521" t="s">
        <v>79</v>
      </c>
      <c r="B521">
        <v>49.743333333333332</v>
      </c>
      <c r="C521">
        <v>126.97833333333334</v>
      </c>
      <c r="D521" t="s">
        <v>51</v>
      </c>
      <c r="E521" t="s">
        <v>128</v>
      </c>
      <c r="F521" t="s">
        <v>227</v>
      </c>
      <c r="G521">
        <v>2</v>
      </c>
      <c r="H521">
        <v>2008</v>
      </c>
    </row>
    <row r="522" spans="1:8">
      <c r="A522" t="s">
        <v>62</v>
      </c>
      <c r="B522">
        <v>49.038333333333334</v>
      </c>
      <c r="C522">
        <v>125.71833333333333</v>
      </c>
      <c r="D522" t="s">
        <v>66</v>
      </c>
      <c r="E522" t="s">
        <v>128</v>
      </c>
      <c r="F522" t="s">
        <v>227</v>
      </c>
      <c r="G522">
        <v>295</v>
      </c>
      <c r="H522">
        <v>2008</v>
      </c>
    </row>
    <row r="523" spans="1:8">
      <c r="A523" t="s">
        <v>59</v>
      </c>
      <c r="B523">
        <v>48.875</v>
      </c>
      <c r="C523">
        <v>125.47833333333334</v>
      </c>
      <c r="D523" t="s">
        <v>51</v>
      </c>
      <c r="E523" t="s">
        <v>128</v>
      </c>
      <c r="F523" t="s">
        <v>227</v>
      </c>
      <c r="G523">
        <v>376</v>
      </c>
      <c r="H523">
        <v>2008</v>
      </c>
    </row>
    <row r="524" spans="1:8">
      <c r="A524" t="s">
        <v>87</v>
      </c>
      <c r="B524">
        <v>50.101666666666667</v>
      </c>
      <c r="C524">
        <v>127.64666666666666</v>
      </c>
      <c r="D524" t="s">
        <v>90</v>
      </c>
      <c r="E524" t="s">
        <v>128</v>
      </c>
      <c r="F524" t="s">
        <v>227</v>
      </c>
      <c r="G524">
        <v>0</v>
      </c>
      <c r="H524">
        <v>2008</v>
      </c>
    </row>
    <row r="525" spans="1:8">
      <c r="A525" t="s">
        <v>52</v>
      </c>
      <c r="B525">
        <v>48.723333333333336</v>
      </c>
      <c r="C525">
        <v>125.105</v>
      </c>
      <c r="D525" t="s">
        <v>51</v>
      </c>
      <c r="E525" t="s">
        <v>128</v>
      </c>
      <c r="F525" t="s">
        <v>227</v>
      </c>
      <c r="G525">
        <v>53</v>
      </c>
      <c r="H525">
        <v>2008</v>
      </c>
    </row>
    <row r="526" spans="1:8">
      <c r="A526" t="s">
        <v>71</v>
      </c>
      <c r="B526">
        <v>49.403333333333336</v>
      </c>
      <c r="C526">
        <v>126.58333333333333</v>
      </c>
      <c r="D526" t="s">
        <v>66</v>
      </c>
      <c r="E526" t="s">
        <v>128</v>
      </c>
      <c r="F526" t="s">
        <v>227</v>
      </c>
      <c r="G526">
        <v>466</v>
      </c>
      <c r="H526">
        <v>2008</v>
      </c>
    </row>
    <row r="527" spans="1:8">
      <c r="A527" t="s">
        <v>75</v>
      </c>
      <c r="B527">
        <v>49.30833333333333</v>
      </c>
      <c r="C527">
        <v>126.22833333333334</v>
      </c>
      <c r="D527" t="s">
        <v>78</v>
      </c>
      <c r="E527" t="s">
        <v>128</v>
      </c>
      <c r="F527" t="s">
        <v>227</v>
      </c>
      <c r="G527">
        <v>0</v>
      </c>
      <c r="H527">
        <v>2008</v>
      </c>
    </row>
    <row r="528" spans="1:8">
      <c r="A528" t="s">
        <v>91</v>
      </c>
      <c r="B528">
        <v>50.111666666666665</v>
      </c>
      <c r="C528">
        <v>127.94</v>
      </c>
      <c r="D528" t="s">
        <v>51</v>
      </c>
      <c r="E528" t="s">
        <v>128</v>
      </c>
      <c r="F528" t="s">
        <v>227</v>
      </c>
      <c r="G528">
        <v>320</v>
      </c>
      <c r="H528">
        <v>2008</v>
      </c>
    </row>
    <row r="529" spans="1:8">
      <c r="A529" t="s">
        <v>56</v>
      </c>
      <c r="B529">
        <v>48.86333333333333</v>
      </c>
      <c r="C529">
        <v>125.35833333333333</v>
      </c>
      <c r="D529" t="s">
        <v>51</v>
      </c>
      <c r="E529" t="s">
        <v>128</v>
      </c>
      <c r="F529" t="s">
        <v>227</v>
      </c>
      <c r="G529">
        <v>48</v>
      </c>
      <c r="H529">
        <v>2008</v>
      </c>
    </row>
    <row r="530" spans="1:8">
      <c r="A530" t="s">
        <v>157</v>
      </c>
      <c r="B530">
        <v>53.05</v>
      </c>
      <c r="C530">
        <v>129.21166666666667</v>
      </c>
      <c r="D530" t="s">
        <v>66</v>
      </c>
      <c r="E530" t="s">
        <v>228</v>
      </c>
      <c r="F530" t="s">
        <v>229</v>
      </c>
      <c r="G530" s="43">
        <v>17</v>
      </c>
      <c r="H530">
        <v>2010</v>
      </c>
    </row>
    <row r="531" spans="1:8">
      <c r="A531" t="s">
        <v>145</v>
      </c>
      <c r="B531">
        <v>51.80833333333333</v>
      </c>
      <c r="C531">
        <v>128.25333333333333</v>
      </c>
      <c r="D531" t="s">
        <v>66</v>
      </c>
      <c r="E531" t="s">
        <v>228</v>
      </c>
      <c r="F531" t="s">
        <v>229</v>
      </c>
      <c r="G531" s="43">
        <v>0</v>
      </c>
      <c r="H531">
        <v>2010</v>
      </c>
    </row>
    <row r="532" spans="1:8">
      <c r="A532" t="s">
        <v>148</v>
      </c>
      <c r="B532">
        <v>51.868333333333332</v>
      </c>
      <c r="C532">
        <v>128.46</v>
      </c>
      <c r="D532" t="s">
        <v>103</v>
      </c>
      <c r="E532" t="s">
        <v>228</v>
      </c>
      <c r="F532" t="s">
        <v>229</v>
      </c>
      <c r="G532" s="43">
        <v>439</v>
      </c>
      <c r="H532">
        <v>2010</v>
      </c>
    </row>
    <row r="533" spans="1:8">
      <c r="A533" t="s">
        <v>151</v>
      </c>
      <c r="B533">
        <v>52.263333333333335</v>
      </c>
      <c r="C533">
        <v>128.72166666666666</v>
      </c>
      <c r="D533" t="s">
        <v>66</v>
      </c>
      <c r="E533" t="s">
        <v>228</v>
      </c>
      <c r="F533" t="s">
        <v>229</v>
      </c>
      <c r="G533" s="43">
        <v>139</v>
      </c>
      <c r="H533">
        <v>2010</v>
      </c>
    </row>
    <row r="534" spans="1:8">
      <c r="A534" t="s">
        <v>142</v>
      </c>
      <c r="B534">
        <v>51.363333333333337</v>
      </c>
      <c r="C534">
        <v>128.00166666666667</v>
      </c>
      <c r="D534" t="s">
        <v>66</v>
      </c>
      <c r="E534" t="s">
        <v>228</v>
      </c>
      <c r="F534" t="s">
        <v>229</v>
      </c>
      <c r="G534" s="43">
        <v>263</v>
      </c>
      <c r="H534">
        <v>2010</v>
      </c>
    </row>
    <row r="535" spans="1:8">
      <c r="A535" t="s">
        <v>154</v>
      </c>
      <c r="B535">
        <v>52.463333333333331</v>
      </c>
      <c r="C535">
        <v>129.37166666666667</v>
      </c>
      <c r="D535" t="s">
        <v>66</v>
      </c>
      <c r="E535" t="s">
        <v>228</v>
      </c>
      <c r="F535" t="s">
        <v>229</v>
      </c>
      <c r="G535" s="43">
        <v>173</v>
      </c>
      <c r="H535">
        <v>2010</v>
      </c>
    </row>
    <row r="536" spans="1:8">
      <c r="A536" t="s">
        <v>138</v>
      </c>
      <c r="B536">
        <v>51.28</v>
      </c>
      <c r="C536">
        <v>128.20333333333335</v>
      </c>
      <c r="D536" t="s">
        <v>103</v>
      </c>
      <c r="E536" t="s">
        <v>228</v>
      </c>
      <c r="F536" t="s">
        <v>229</v>
      </c>
      <c r="G536" s="43">
        <v>533</v>
      </c>
      <c r="H536">
        <v>2010</v>
      </c>
    </row>
    <row r="537" spans="1:8">
      <c r="A537" t="s">
        <v>26</v>
      </c>
      <c r="B537">
        <v>52.103333333333332</v>
      </c>
      <c r="C537">
        <v>131.24</v>
      </c>
      <c r="D537" t="s">
        <v>66</v>
      </c>
      <c r="E537" t="s">
        <v>231</v>
      </c>
      <c r="F537" t="s">
        <v>229</v>
      </c>
      <c r="G537" s="43">
        <v>186</v>
      </c>
      <c r="H537">
        <v>2010</v>
      </c>
    </row>
    <row r="538" spans="1:8">
      <c r="A538" t="s">
        <v>19</v>
      </c>
      <c r="B538">
        <v>51.911666666666669</v>
      </c>
      <c r="C538">
        <v>130.98166666666665</v>
      </c>
      <c r="D538" t="s">
        <v>103</v>
      </c>
      <c r="E538" t="s">
        <v>231</v>
      </c>
      <c r="F538" t="s">
        <v>229</v>
      </c>
      <c r="G538" s="43">
        <v>1077</v>
      </c>
      <c r="H538">
        <v>2010</v>
      </c>
    </row>
    <row r="539" spans="1:8">
      <c r="A539" t="s">
        <v>23</v>
      </c>
      <c r="B539">
        <v>53.376666666666665</v>
      </c>
      <c r="C539">
        <v>132.72166666666666</v>
      </c>
      <c r="D539" t="s">
        <v>51</v>
      </c>
      <c r="E539" t="s">
        <v>231</v>
      </c>
      <c r="F539" t="s">
        <v>229</v>
      </c>
      <c r="G539" s="43">
        <v>97</v>
      </c>
      <c r="H539">
        <v>2010</v>
      </c>
    </row>
    <row r="540" spans="1:8">
      <c r="A540" t="s">
        <v>215</v>
      </c>
      <c r="B540">
        <v>52.213333333333331</v>
      </c>
      <c r="C540">
        <v>130.96</v>
      </c>
      <c r="D540" t="s">
        <v>103</v>
      </c>
      <c r="E540" t="s">
        <v>231</v>
      </c>
      <c r="F540" t="s">
        <v>229</v>
      </c>
      <c r="G540" s="43">
        <v>565</v>
      </c>
      <c r="H540">
        <v>2010</v>
      </c>
    </row>
    <row r="541" spans="1:8">
      <c r="A541" t="s">
        <v>207</v>
      </c>
      <c r="B541">
        <v>53.813333333333333</v>
      </c>
      <c r="C541">
        <v>133.13333333333333</v>
      </c>
      <c r="D541" t="s">
        <v>66</v>
      </c>
      <c r="E541" t="s">
        <v>231</v>
      </c>
      <c r="F541" t="s">
        <v>229</v>
      </c>
      <c r="G541" s="43">
        <v>339</v>
      </c>
      <c r="H541">
        <v>2010</v>
      </c>
    </row>
    <row r="542" spans="1:8" ht="15">
      <c r="A542" t="s">
        <v>190</v>
      </c>
      <c r="B542">
        <v>52.336666666666666</v>
      </c>
      <c r="C542">
        <v>131.13166666666666</v>
      </c>
      <c r="D542" t="s">
        <v>66</v>
      </c>
      <c r="E542" t="s">
        <v>231</v>
      </c>
      <c r="F542" t="s">
        <v>229</v>
      </c>
      <c r="G542" s="44">
        <v>-64</v>
      </c>
      <c r="H542">
        <v>2010</v>
      </c>
    </row>
    <row r="543" spans="1:8">
      <c r="A543" t="s">
        <v>25</v>
      </c>
      <c r="B543">
        <v>54.26</v>
      </c>
      <c r="C543">
        <v>133.01499999999999</v>
      </c>
      <c r="D543" t="s">
        <v>51</v>
      </c>
      <c r="E543" t="s">
        <v>231</v>
      </c>
      <c r="F543" t="s">
        <v>229</v>
      </c>
      <c r="G543" s="43">
        <v>98</v>
      </c>
      <c r="H543">
        <v>2010</v>
      </c>
    </row>
    <row r="544" spans="1:8">
      <c r="A544" t="s">
        <v>203</v>
      </c>
      <c r="B544">
        <v>53.204999999999998</v>
      </c>
      <c r="C544">
        <v>132.65166666666667</v>
      </c>
      <c r="D544" t="s">
        <v>66</v>
      </c>
      <c r="E544" t="s">
        <v>231</v>
      </c>
      <c r="F544" t="s">
        <v>229</v>
      </c>
      <c r="G544" s="43">
        <v>0</v>
      </c>
      <c r="H544">
        <v>2010</v>
      </c>
    </row>
    <row r="545" spans="1:8">
      <c r="A545" t="s">
        <v>21</v>
      </c>
      <c r="B545">
        <v>52.973333333333336</v>
      </c>
      <c r="C545">
        <v>132.36000000000001</v>
      </c>
      <c r="D545" t="s">
        <v>78</v>
      </c>
      <c r="E545" t="s">
        <v>231</v>
      </c>
      <c r="F545" t="s">
        <v>229</v>
      </c>
      <c r="G545" s="43">
        <v>0</v>
      </c>
      <c r="H545">
        <v>2010</v>
      </c>
    </row>
    <row r="546" spans="1:8">
      <c r="A546" t="s">
        <v>14</v>
      </c>
      <c r="B546">
        <v>52.87166666666667</v>
      </c>
      <c r="C546">
        <v>131.48500000000001</v>
      </c>
      <c r="D546" t="s">
        <v>66</v>
      </c>
      <c r="E546" t="s">
        <v>231</v>
      </c>
      <c r="F546" t="s">
        <v>229</v>
      </c>
      <c r="G546" s="43">
        <v>316</v>
      </c>
      <c r="H546">
        <v>2010</v>
      </c>
    </row>
    <row r="547" spans="1:8">
      <c r="A547" t="s">
        <v>13</v>
      </c>
      <c r="B547">
        <v>54.211666666666666</v>
      </c>
      <c r="C547">
        <v>131.61333333333334</v>
      </c>
      <c r="D547" t="s">
        <v>66</v>
      </c>
      <c r="E547" t="s">
        <v>231</v>
      </c>
      <c r="F547" t="s">
        <v>229</v>
      </c>
      <c r="G547" s="43">
        <v>57</v>
      </c>
      <c r="H547">
        <v>2010</v>
      </c>
    </row>
    <row r="548" spans="1:8">
      <c r="A548" t="s">
        <v>20</v>
      </c>
      <c r="B548">
        <v>52.703333333333333</v>
      </c>
      <c r="C548">
        <v>132.07499999999999</v>
      </c>
      <c r="D548" t="s">
        <v>66</v>
      </c>
      <c r="E548" t="s">
        <v>231</v>
      </c>
      <c r="F548" t="s">
        <v>229</v>
      </c>
      <c r="G548" s="43">
        <v>251</v>
      </c>
      <c r="H548">
        <v>2010</v>
      </c>
    </row>
    <row r="549" spans="1:8">
      <c r="A549" t="s">
        <v>187</v>
      </c>
      <c r="B549">
        <v>52.953333333333333</v>
      </c>
      <c r="C549">
        <v>131.55166666666668</v>
      </c>
      <c r="D549" t="s">
        <v>78</v>
      </c>
      <c r="E549" t="s">
        <v>231</v>
      </c>
      <c r="F549" t="s">
        <v>229</v>
      </c>
      <c r="G549" s="43">
        <v>0</v>
      </c>
      <c r="H549">
        <v>2010</v>
      </c>
    </row>
    <row r="550" spans="1:8">
      <c r="A550" t="s">
        <v>193</v>
      </c>
      <c r="B550">
        <v>52.543333333333337</v>
      </c>
      <c r="C550">
        <v>131.35666666666665</v>
      </c>
      <c r="D550" t="s">
        <v>66</v>
      </c>
      <c r="E550" t="s">
        <v>231</v>
      </c>
      <c r="F550" t="s">
        <v>229</v>
      </c>
      <c r="G550" s="43">
        <v>0</v>
      </c>
      <c r="H550">
        <v>2010</v>
      </c>
    </row>
    <row r="551" spans="1:8" ht="15">
      <c r="A551" t="s">
        <v>173</v>
      </c>
      <c r="B551">
        <v>53.466666666666669</v>
      </c>
      <c r="C551">
        <v>130.61333333333334</v>
      </c>
      <c r="D551" t="s">
        <v>103</v>
      </c>
      <c r="E551" t="s">
        <v>230</v>
      </c>
      <c r="F551" t="s">
        <v>229</v>
      </c>
      <c r="G551" s="44">
        <v>-64</v>
      </c>
      <c r="H551">
        <v>2010</v>
      </c>
    </row>
    <row r="552" spans="1:8">
      <c r="A552" t="s">
        <v>180</v>
      </c>
      <c r="B552">
        <v>54.44166666666667</v>
      </c>
      <c r="C552">
        <v>130.98666666666668</v>
      </c>
      <c r="D552" t="s">
        <v>66</v>
      </c>
      <c r="E552" t="s">
        <v>230</v>
      </c>
      <c r="F552" t="s">
        <v>229</v>
      </c>
      <c r="G552" s="43">
        <v>1077</v>
      </c>
      <c r="H552">
        <v>2010</v>
      </c>
    </row>
    <row r="553" spans="1:8">
      <c r="A553" t="s">
        <v>163</v>
      </c>
      <c r="B553">
        <v>52.736666666666665</v>
      </c>
      <c r="C553">
        <v>129.53</v>
      </c>
      <c r="D553" t="s">
        <v>66</v>
      </c>
      <c r="E553" t="s">
        <v>230</v>
      </c>
      <c r="F553" t="s">
        <v>229</v>
      </c>
      <c r="G553" s="43">
        <v>57</v>
      </c>
      <c r="H553">
        <v>2010</v>
      </c>
    </row>
    <row r="554" spans="1:8">
      <c r="A554" t="s">
        <v>166</v>
      </c>
      <c r="B554">
        <v>53.145000000000003</v>
      </c>
      <c r="C554">
        <v>130.04166666666666</v>
      </c>
      <c r="D554" t="s">
        <v>66</v>
      </c>
      <c r="E554" t="s">
        <v>230</v>
      </c>
      <c r="F554" t="s">
        <v>229</v>
      </c>
      <c r="G554" s="43">
        <v>316</v>
      </c>
      <c r="H554">
        <v>2010</v>
      </c>
    </row>
    <row r="555" spans="1:8">
      <c r="A555" t="s">
        <v>170</v>
      </c>
      <c r="B555">
        <v>53.255000000000003</v>
      </c>
      <c r="C555">
        <v>130.34166666666667</v>
      </c>
      <c r="D555" t="s">
        <v>103</v>
      </c>
      <c r="E555" t="s">
        <v>230</v>
      </c>
      <c r="F555" t="s">
        <v>229</v>
      </c>
      <c r="G555" s="43">
        <v>0</v>
      </c>
      <c r="H555">
        <v>2010</v>
      </c>
    </row>
    <row r="556" spans="1:8">
      <c r="A556" t="s">
        <v>176</v>
      </c>
      <c r="B556">
        <v>54.064999999999998</v>
      </c>
      <c r="C556">
        <v>130.85166666666666</v>
      </c>
      <c r="D556" t="s">
        <v>66</v>
      </c>
      <c r="E556" t="s">
        <v>230</v>
      </c>
      <c r="F556" t="s">
        <v>229</v>
      </c>
      <c r="G556" s="43">
        <v>0</v>
      </c>
      <c r="H556">
        <v>2010</v>
      </c>
    </row>
    <row r="557" spans="1:8">
      <c r="A557" t="s">
        <v>115</v>
      </c>
      <c r="B557">
        <v>50.94166666666667</v>
      </c>
      <c r="C557">
        <v>127.92</v>
      </c>
      <c r="D557" t="s">
        <v>51</v>
      </c>
      <c r="E557" t="s">
        <v>223</v>
      </c>
      <c r="F557" t="s">
        <v>227</v>
      </c>
      <c r="G557" s="43">
        <v>479</v>
      </c>
      <c r="H557">
        <v>2010</v>
      </c>
    </row>
    <row r="558" spans="1:8">
      <c r="A558" t="s">
        <v>118</v>
      </c>
      <c r="B558">
        <v>50.94166666666667</v>
      </c>
      <c r="C558">
        <v>127.65666666666667</v>
      </c>
      <c r="D558" t="s">
        <v>51</v>
      </c>
      <c r="E558" t="s">
        <v>223</v>
      </c>
      <c r="F558" t="s">
        <v>227</v>
      </c>
      <c r="G558" s="43">
        <v>461</v>
      </c>
      <c r="H558">
        <v>2010</v>
      </c>
    </row>
    <row r="559" spans="1:8">
      <c r="A559" t="s">
        <v>123</v>
      </c>
      <c r="B559">
        <v>50.74666666666667</v>
      </c>
      <c r="C559">
        <v>126.72166666666666</v>
      </c>
      <c r="D559" t="s">
        <v>66</v>
      </c>
      <c r="E559" t="s">
        <v>223</v>
      </c>
      <c r="F559" t="s">
        <v>227</v>
      </c>
      <c r="G559" s="43">
        <v>0</v>
      </c>
      <c r="H559">
        <v>2010</v>
      </c>
    </row>
    <row r="560" spans="1:8">
      <c r="A560" t="s">
        <v>120</v>
      </c>
      <c r="B560">
        <v>50.91</v>
      </c>
      <c r="C560">
        <v>127.44166666666666</v>
      </c>
      <c r="D560" t="s">
        <v>51</v>
      </c>
      <c r="E560" t="s">
        <v>223</v>
      </c>
      <c r="F560" t="s">
        <v>227</v>
      </c>
      <c r="G560" s="43">
        <v>140</v>
      </c>
      <c r="H560">
        <v>2010</v>
      </c>
    </row>
    <row r="561" spans="1:8">
      <c r="A561" t="s">
        <v>104</v>
      </c>
      <c r="B561">
        <v>50.791666666666664</v>
      </c>
      <c r="C561">
        <v>128.77000000000001</v>
      </c>
      <c r="D561" t="s">
        <v>66</v>
      </c>
      <c r="E561" t="s">
        <v>222</v>
      </c>
      <c r="F561" t="s">
        <v>227</v>
      </c>
      <c r="G561" s="43">
        <v>153</v>
      </c>
      <c r="H561">
        <v>2010</v>
      </c>
    </row>
    <row r="562" spans="1:8">
      <c r="A562" t="s">
        <v>100</v>
      </c>
      <c r="B562">
        <v>50.801666666666669</v>
      </c>
      <c r="C562">
        <v>128.78</v>
      </c>
      <c r="D562" t="s">
        <v>103</v>
      </c>
      <c r="E562" t="s">
        <v>222</v>
      </c>
      <c r="F562" t="s">
        <v>227</v>
      </c>
      <c r="G562" s="43">
        <v>286</v>
      </c>
      <c r="H562">
        <v>2010</v>
      </c>
    </row>
    <row r="563" spans="1:8">
      <c r="A563" t="s">
        <v>107</v>
      </c>
      <c r="B563">
        <v>50.82</v>
      </c>
      <c r="C563">
        <v>128.90333333333334</v>
      </c>
      <c r="D563" t="s">
        <v>103</v>
      </c>
      <c r="E563" t="s">
        <v>222</v>
      </c>
      <c r="F563" t="s">
        <v>227</v>
      </c>
      <c r="G563" s="43">
        <v>231</v>
      </c>
      <c r="H563">
        <v>2010</v>
      </c>
    </row>
    <row r="564" spans="1:8">
      <c r="A564" t="s">
        <v>110</v>
      </c>
      <c r="B564">
        <v>50.87166666666667</v>
      </c>
      <c r="C564">
        <v>129.07666666666665</v>
      </c>
      <c r="D564" t="s">
        <v>103</v>
      </c>
      <c r="E564" t="s">
        <v>222</v>
      </c>
      <c r="F564" t="s">
        <v>227</v>
      </c>
      <c r="G564" s="43">
        <v>4651</v>
      </c>
      <c r="H564">
        <v>2010</v>
      </c>
    </row>
    <row r="565" spans="1:8">
      <c r="A565" t="s">
        <v>82</v>
      </c>
      <c r="B565">
        <v>50.011666666666663</v>
      </c>
      <c r="C565">
        <v>127.52666666666667</v>
      </c>
      <c r="D565" t="s">
        <v>66</v>
      </c>
      <c r="E565" t="s">
        <v>128</v>
      </c>
      <c r="F565" t="s">
        <v>227</v>
      </c>
      <c r="G565" s="43">
        <v>1284</v>
      </c>
      <c r="H565">
        <v>2010</v>
      </c>
    </row>
    <row r="566" spans="1:8">
      <c r="A566" t="s">
        <v>94</v>
      </c>
      <c r="B566">
        <v>50.784999999999997</v>
      </c>
      <c r="C566">
        <v>128.41999999999999</v>
      </c>
      <c r="D566" t="s">
        <v>78</v>
      </c>
      <c r="E566" t="s">
        <v>128</v>
      </c>
      <c r="F566" t="s">
        <v>227</v>
      </c>
      <c r="G566" s="43">
        <v>0</v>
      </c>
      <c r="H566">
        <v>2010</v>
      </c>
    </row>
    <row r="567" spans="1:8">
      <c r="A567" t="s">
        <v>46</v>
      </c>
      <c r="B567">
        <v>48.615000000000002</v>
      </c>
      <c r="C567">
        <v>124.76166666666667</v>
      </c>
      <c r="D567" t="s">
        <v>51</v>
      </c>
      <c r="E567" t="s">
        <v>128</v>
      </c>
      <c r="F567" t="s">
        <v>227</v>
      </c>
      <c r="G567" s="43">
        <v>514</v>
      </c>
      <c r="H567">
        <v>2010</v>
      </c>
    </row>
    <row r="568" spans="1:8">
      <c r="A568" t="s">
        <v>67</v>
      </c>
      <c r="B568">
        <v>49.171666666666667</v>
      </c>
      <c r="C568">
        <v>125.09166666666667</v>
      </c>
      <c r="D568" t="s">
        <v>66</v>
      </c>
      <c r="E568" t="s">
        <v>128</v>
      </c>
      <c r="F568" t="s">
        <v>227</v>
      </c>
      <c r="G568" s="43">
        <v>0</v>
      </c>
      <c r="H568">
        <v>2010</v>
      </c>
    </row>
    <row r="569" spans="1:8">
      <c r="A569" t="s">
        <v>79</v>
      </c>
      <c r="B569">
        <v>49.743333333333332</v>
      </c>
      <c r="C569">
        <v>126.97833333333334</v>
      </c>
      <c r="D569" t="s">
        <v>51</v>
      </c>
      <c r="E569" t="s">
        <v>128</v>
      </c>
      <c r="F569" t="s">
        <v>227</v>
      </c>
      <c r="G569" s="43">
        <v>0</v>
      </c>
      <c r="H569">
        <v>2010</v>
      </c>
    </row>
    <row r="570" spans="1:8">
      <c r="A570" t="s">
        <v>62</v>
      </c>
      <c r="B570">
        <v>49.038333333333334</v>
      </c>
      <c r="C570">
        <v>125.71833333333333</v>
      </c>
      <c r="D570" t="s">
        <v>66</v>
      </c>
      <c r="E570" t="s">
        <v>128</v>
      </c>
      <c r="F570" t="s">
        <v>227</v>
      </c>
      <c r="G570" s="43">
        <v>367</v>
      </c>
      <c r="H570">
        <v>2010</v>
      </c>
    </row>
    <row r="571" spans="1:8">
      <c r="A571" t="s">
        <v>59</v>
      </c>
      <c r="B571">
        <v>48.875</v>
      </c>
      <c r="C571">
        <v>125.47833333333334</v>
      </c>
      <c r="D571" t="s">
        <v>51</v>
      </c>
      <c r="E571" t="s">
        <v>128</v>
      </c>
      <c r="F571" t="s">
        <v>227</v>
      </c>
      <c r="G571" s="43">
        <v>514</v>
      </c>
      <c r="H571">
        <v>2010</v>
      </c>
    </row>
    <row r="572" spans="1:8">
      <c r="A572" t="s">
        <v>87</v>
      </c>
      <c r="B572">
        <v>50.101666666666667</v>
      </c>
      <c r="C572">
        <v>127.64666666666666</v>
      </c>
      <c r="D572" t="s">
        <v>90</v>
      </c>
      <c r="E572" t="s">
        <v>128</v>
      </c>
      <c r="F572" t="s">
        <v>227</v>
      </c>
      <c r="G572" s="43">
        <v>0</v>
      </c>
      <c r="H572">
        <v>2010</v>
      </c>
    </row>
    <row r="573" spans="1:8">
      <c r="A573" t="s">
        <v>52</v>
      </c>
      <c r="B573">
        <v>48.723333333333336</v>
      </c>
      <c r="C573">
        <v>125.105</v>
      </c>
      <c r="D573" t="s">
        <v>51</v>
      </c>
      <c r="E573" t="s">
        <v>128</v>
      </c>
      <c r="F573" t="s">
        <v>227</v>
      </c>
      <c r="G573" s="43">
        <v>166</v>
      </c>
      <c r="H573">
        <v>2010</v>
      </c>
    </row>
    <row r="574" spans="1:8">
      <c r="A574" t="s">
        <v>71</v>
      </c>
      <c r="B574">
        <v>49.403333333333336</v>
      </c>
      <c r="C574">
        <v>126.58333333333333</v>
      </c>
      <c r="D574" t="s">
        <v>66</v>
      </c>
      <c r="E574" t="s">
        <v>128</v>
      </c>
      <c r="F574" t="s">
        <v>227</v>
      </c>
      <c r="G574" s="43">
        <v>321</v>
      </c>
      <c r="H574">
        <v>2010</v>
      </c>
    </row>
    <row r="575" spans="1:8">
      <c r="A575" t="s">
        <v>75</v>
      </c>
      <c r="B575">
        <v>49.30833333333333</v>
      </c>
      <c r="C575">
        <v>126.22833333333334</v>
      </c>
      <c r="D575" t="s">
        <v>78</v>
      </c>
      <c r="E575" t="s">
        <v>128</v>
      </c>
      <c r="F575" t="s">
        <v>227</v>
      </c>
      <c r="G575" s="43">
        <v>0</v>
      </c>
      <c r="H575">
        <v>2010</v>
      </c>
    </row>
    <row r="576" spans="1:8">
      <c r="A576" t="s">
        <v>91</v>
      </c>
      <c r="B576">
        <v>50.111666666666665</v>
      </c>
      <c r="C576">
        <v>127.94</v>
      </c>
      <c r="D576" t="s">
        <v>51</v>
      </c>
      <c r="E576" t="s">
        <v>128</v>
      </c>
      <c r="F576" t="s">
        <v>227</v>
      </c>
      <c r="G576" s="43">
        <v>632</v>
      </c>
      <c r="H576">
        <v>2010</v>
      </c>
    </row>
    <row r="577" spans="1:8">
      <c r="A577" t="s">
        <v>56</v>
      </c>
      <c r="B577">
        <v>48.86333333333333</v>
      </c>
      <c r="C577">
        <v>125.35833333333333</v>
      </c>
      <c r="D577" t="s">
        <v>51</v>
      </c>
      <c r="E577" t="s">
        <v>128</v>
      </c>
      <c r="F577" t="s">
        <v>227</v>
      </c>
      <c r="G577" s="43">
        <v>89</v>
      </c>
      <c r="H577">
        <v>2010</v>
      </c>
    </row>
    <row r="578" spans="1:8">
      <c r="A578" t="s">
        <v>157</v>
      </c>
      <c r="B578">
        <v>53.05</v>
      </c>
      <c r="C578">
        <v>129.21166666666667</v>
      </c>
      <c r="D578" t="s">
        <v>66</v>
      </c>
      <c r="E578" t="s">
        <v>228</v>
      </c>
      <c r="F578" t="s">
        <v>229</v>
      </c>
      <c r="G578" s="43">
        <v>536</v>
      </c>
      <c r="H578">
        <v>2013</v>
      </c>
    </row>
    <row r="579" spans="1:8">
      <c r="A579" t="s">
        <v>145</v>
      </c>
      <c r="B579">
        <v>51.80833333333333</v>
      </c>
      <c r="C579">
        <v>128.25333333333333</v>
      </c>
      <c r="D579" t="s">
        <v>66</v>
      </c>
      <c r="E579" t="s">
        <v>228</v>
      </c>
      <c r="F579" t="s">
        <v>229</v>
      </c>
      <c r="G579" s="43">
        <v>64</v>
      </c>
      <c r="H579">
        <v>2013</v>
      </c>
    </row>
    <row r="580" spans="1:8">
      <c r="A580" t="s">
        <v>148</v>
      </c>
      <c r="B580">
        <v>51.868333333333332</v>
      </c>
      <c r="C580">
        <v>128.46</v>
      </c>
      <c r="D580" t="s">
        <v>103</v>
      </c>
      <c r="E580" t="s">
        <v>228</v>
      </c>
      <c r="F580" t="s">
        <v>229</v>
      </c>
      <c r="G580" s="43">
        <v>450</v>
      </c>
      <c r="H580">
        <v>2013</v>
      </c>
    </row>
    <row r="581" spans="1:8">
      <c r="A581" t="s">
        <v>151</v>
      </c>
      <c r="B581">
        <v>52.263333333333335</v>
      </c>
      <c r="C581">
        <v>128.72166666666666</v>
      </c>
      <c r="D581" t="s">
        <v>66</v>
      </c>
      <c r="E581" t="s">
        <v>228</v>
      </c>
      <c r="F581" t="s">
        <v>229</v>
      </c>
      <c r="G581" s="43">
        <v>254</v>
      </c>
      <c r="H581">
        <v>2013</v>
      </c>
    </row>
    <row r="582" spans="1:8">
      <c r="A582" t="s">
        <v>142</v>
      </c>
      <c r="B582">
        <v>51.363333333333337</v>
      </c>
      <c r="C582">
        <v>128.00166666666667</v>
      </c>
      <c r="D582" t="s">
        <v>66</v>
      </c>
      <c r="E582" t="s">
        <v>228</v>
      </c>
      <c r="F582" t="s">
        <v>229</v>
      </c>
      <c r="G582" s="43">
        <v>385</v>
      </c>
      <c r="H582">
        <v>2013</v>
      </c>
    </row>
    <row r="583" spans="1:8">
      <c r="A583" t="s">
        <v>154</v>
      </c>
      <c r="B583">
        <v>52.463333333333331</v>
      </c>
      <c r="C583">
        <v>129.37166666666667</v>
      </c>
      <c r="D583" t="s">
        <v>66</v>
      </c>
      <c r="E583" t="s">
        <v>228</v>
      </c>
      <c r="F583" t="s">
        <v>229</v>
      </c>
      <c r="G583" s="43">
        <v>230</v>
      </c>
      <c r="H583">
        <v>2013</v>
      </c>
    </row>
    <row r="584" spans="1:8">
      <c r="A584" t="s">
        <v>138</v>
      </c>
      <c r="B584">
        <v>51.28</v>
      </c>
      <c r="C584">
        <v>128.20333333333335</v>
      </c>
      <c r="D584" t="s">
        <v>103</v>
      </c>
      <c r="E584" t="s">
        <v>228</v>
      </c>
      <c r="F584" t="s">
        <v>229</v>
      </c>
      <c r="G584" s="43">
        <v>1086</v>
      </c>
      <c r="H584">
        <v>2013</v>
      </c>
    </row>
    <row r="585" spans="1:8">
      <c r="A585" t="s">
        <v>26</v>
      </c>
      <c r="B585">
        <v>52.103333333333332</v>
      </c>
      <c r="C585">
        <v>131.24</v>
      </c>
      <c r="D585" t="s">
        <v>66</v>
      </c>
      <c r="E585" t="s">
        <v>231</v>
      </c>
      <c r="F585" t="s">
        <v>229</v>
      </c>
      <c r="G585" s="43">
        <v>518</v>
      </c>
      <c r="H585">
        <v>2013</v>
      </c>
    </row>
    <row r="586" spans="1:8">
      <c r="A586" t="s">
        <v>19</v>
      </c>
      <c r="B586">
        <v>51.911666666666669</v>
      </c>
      <c r="C586">
        <v>130.98166666666665</v>
      </c>
      <c r="D586" t="s">
        <v>103</v>
      </c>
      <c r="E586" t="s">
        <v>231</v>
      </c>
      <c r="F586" t="s">
        <v>229</v>
      </c>
      <c r="G586" s="43">
        <v>1228</v>
      </c>
      <c r="H586">
        <v>2013</v>
      </c>
    </row>
    <row r="587" spans="1:8">
      <c r="A587" t="s">
        <v>23</v>
      </c>
      <c r="B587">
        <v>53.376666666666665</v>
      </c>
      <c r="C587">
        <v>132.72166666666666</v>
      </c>
      <c r="D587" t="s">
        <v>51</v>
      </c>
      <c r="E587" t="s">
        <v>231</v>
      </c>
      <c r="F587" t="s">
        <v>229</v>
      </c>
      <c r="G587" s="43">
        <v>208</v>
      </c>
      <c r="H587">
        <v>2013</v>
      </c>
    </row>
    <row r="588" spans="1:8">
      <c r="A588" t="s">
        <v>215</v>
      </c>
      <c r="B588">
        <v>52.213333333333331</v>
      </c>
      <c r="C588">
        <v>130.96</v>
      </c>
      <c r="D588" t="s">
        <v>103</v>
      </c>
      <c r="E588" t="s">
        <v>231</v>
      </c>
      <c r="F588" t="s">
        <v>229</v>
      </c>
      <c r="G588" s="43">
        <v>677</v>
      </c>
      <c r="H588">
        <v>2013</v>
      </c>
    </row>
    <row r="589" spans="1:8">
      <c r="A589" t="s">
        <v>207</v>
      </c>
      <c r="B589">
        <v>53.813333333333333</v>
      </c>
      <c r="C589">
        <v>133.13333333333333</v>
      </c>
      <c r="D589" t="s">
        <v>66</v>
      </c>
      <c r="E589" t="s">
        <v>231</v>
      </c>
      <c r="F589" t="s">
        <v>229</v>
      </c>
      <c r="G589" s="43">
        <v>253</v>
      </c>
      <c r="H589">
        <v>2013</v>
      </c>
    </row>
    <row r="590" spans="1:8">
      <c r="A590" t="s">
        <v>190</v>
      </c>
      <c r="B590">
        <v>52.336666666666666</v>
      </c>
      <c r="C590">
        <v>131.13166666666666</v>
      </c>
      <c r="D590" t="s">
        <v>66</v>
      </c>
      <c r="E590" t="s">
        <v>231</v>
      </c>
      <c r="F590" t="s">
        <v>229</v>
      </c>
      <c r="G590" s="43">
        <v>159</v>
      </c>
      <c r="H590">
        <v>2013</v>
      </c>
    </row>
    <row r="591" spans="1:8">
      <c r="A591" t="s">
        <v>25</v>
      </c>
      <c r="B591">
        <v>54.26</v>
      </c>
      <c r="C591">
        <v>133.01499999999999</v>
      </c>
      <c r="D591" t="s">
        <v>51</v>
      </c>
      <c r="E591" t="s">
        <v>231</v>
      </c>
      <c r="F591" t="s">
        <v>229</v>
      </c>
      <c r="G591" s="43">
        <v>332</v>
      </c>
      <c r="H591">
        <v>2013</v>
      </c>
    </row>
    <row r="592" spans="1:8">
      <c r="A592" t="s">
        <v>203</v>
      </c>
      <c r="B592">
        <v>53.204999999999998</v>
      </c>
      <c r="C592">
        <v>132.65166666666667</v>
      </c>
      <c r="D592" t="s">
        <v>66</v>
      </c>
      <c r="E592" t="s">
        <v>231</v>
      </c>
      <c r="F592" t="s">
        <v>229</v>
      </c>
      <c r="G592" s="43">
        <v>67</v>
      </c>
      <c r="H592">
        <v>2013</v>
      </c>
    </row>
    <row r="593" spans="1:8">
      <c r="A593" t="s">
        <v>21</v>
      </c>
      <c r="B593">
        <v>52.973333333333336</v>
      </c>
      <c r="C593">
        <v>132.36000000000001</v>
      </c>
      <c r="D593" t="s">
        <v>78</v>
      </c>
      <c r="E593" t="s">
        <v>231</v>
      </c>
      <c r="F593" t="s">
        <v>229</v>
      </c>
      <c r="G593" s="43">
        <v>76</v>
      </c>
      <c r="H593">
        <v>2013</v>
      </c>
    </row>
    <row r="594" spans="1:8">
      <c r="A594" t="s">
        <v>14</v>
      </c>
      <c r="B594">
        <v>52.87166666666667</v>
      </c>
      <c r="C594">
        <v>131.48500000000001</v>
      </c>
      <c r="D594" t="s">
        <v>66</v>
      </c>
      <c r="E594" t="s">
        <v>231</v>
      </c>
      <c r="F594" t="s">
        <v>229</v>
      </c>
      <c r="G594" s="43">
        <v>305</v>
      </c>
      <c r="H594">
        <v>2013</v>
      </c>
    </row>
    <row r="595" spans="1:8">
      <c r="A595" t="s">
        <v>13</v>
      </c>
      <c r="B595">
        <v>54.211666666666666</v>
      </c>
      <c r="C595">
        <v>131.61333333333334</v>
      </c>
      <c r="D595" t="s">
        <v>66</v>
      </c>
      <c r="E595" t="s">
        <v>231</v>
      </c>
      <c r="F595" t="s">
        <v>229</v>
      </c>
      <c r="G595" s="43">
        <v>51</v>
      </c>
      <c r="H595">
        <v>2013</v>
      </c>
    </row>
    <row r="596" spans="1:8">
      <c r="A596" t="s">
        <v>20</v>
      </c>
      <c r="B596">
        <v>52.703333333333333</v>
      </c>
      <c r="C596">
        <v>132.07499999999999</v>
      </c>
      <c r="D596" t="s">
        <v>66</v>
      </c>
      <c r="E596" t="s">
        <v>231</v>
      </c>
      <c r="F596" t="s">
        <v>229</v>
      </c>
      <c r="G596" s="43">
        <v>249</v>
      </c>
      <c r="H596">
        <v>2013</v>
      </c>
    </row>
    <row r="597" spans="1:8">
      <c r="A597" t="s">
        <v>187</v>
      </c>
      <c r="B597">
        <v>52.953333333333333</v>
      </c>
      <c r="C597">
        <v>131.55166666666668</v>
      </c>
      <c r="D597" t="s">
        <v>78</v>
      </c>
      <c r="E597" t="s">
        <v>231</v>
      </c>
      <c r="F597" t="s">
        <v>229</v>
      </c>
      <c r="G597" s="43">
        <v>0</v>
      </c>
      <c r="H597">
        <v>2013</v>
      </c>
    </row>
    <row r="598" spans="1:8">
      <c r="A598" t="s">
        <v>193</v>
      </c>
      <c r="B598">
        <v>52.543333333333337</v>
      </c>
      <c r="C598">
        <v>131.35666666666665</v>
      </c>
      <c r="D598" t="s">
        <v>66</v>
      </c>
      <c r="E598" t="s">
        <v>231</v>
      </c>
      <c r="F598" t="s">
        <v>229</v>
      </c>
      <c r="G598" s="43">
        <v>79</v>
      </c>
      <c r="H598">
        <v>2013</v>
      </c>
    </row>
    <row r="599" spans="1:8">
      <c r="A599" t="s">
        <v>173</v>
      </c>
      <c r="B599">
        <v>53.466666666666669</v>
      </c>
      <c r="C599">
        <v>130.61333333333334</v>
      </c>
      <c r="D599" t="s">
        <v>103</v>
      </c>
      <c r="E599" t="s">
        <v>230</v>
      </c>
      <c r="F599" t="s">
        <v>229</v>
      </c>
      <c r="G599" s="43">
        <v>159</v>
      </c>
      <c r="H599">
        <v>2013</v>
      </c>
    </row>
    <row r="600" spans="1:8">
      <c r="A600" t="s">
        <v>180</v>
      </c>
      <c r="B600">
        <v>54.44166666666667</v>
      </c>
      <c r="C600">
        <v>130.98666666666668</v>
      </c>
      <c r="D600" t="s">
        <v>66</v>
      </c>
      <c r="E600" t="s">
        <v>230</v>
      </c>
      <c r="F600" t="s">
        <v>229</v>
      </c>
      <c r="G600" s="43">
        <v>1228</v>
      </c>
      <c r="H600">
        <v>2013</v>
      </c>
    </row>
    <row r="601" spans="1:8">
      <c r="A601" t="s">
        <v>163</v>
      </c>
      <c r="B601">
        <v>52.736666666666665</v>
      </c>
      <c r="C601">
        <v>129.53</v>
      </c>
      <c r="D601" t="s">
        <v>66</v>
      </c>
      <c r="E601" t="s">
        <v>230</v>
      </c>
      <c r="F601" t="s">
        <v>229</v>
      </c>
      <c r="G601" s="43">
        <v>51</v>
      </c>
      <c r="H601">
        <v>2013</v>
      </c>
    </row>
    <row r="602" spans="1:8">
      <c r="A602" t="s">
        <v>166</v>
      </c>
      <c r="B602">
        <v>53.145000000000003</v>
      </c>
      <c r="C602">
        <v>130.04166666666666</v>
      </c>
      <c r="D602" t="s">
        <v>66</v>
      </c>
      <c r="E602" t="s">
        <v>230</v>
      </c>
      <c r="F602" t="s">
        <v>229</v>
      </c>
      <c r="G602" s="43">
        <v>305</v>
      </c>
      <c r="H602">
        <v>2013</v>
      </c>
    </row>
    <row r="603" spans="1:8">
      <c r="A603" t="s">
        <v>170</v>
      </c>
      <c r="B603">
        <v>53.255000000000003</v>
      </c>
      <c r="C603">
        <v>130.34166666666667</v>
      </c>
      <c r="D603" t="s">
        <v>103</v>
      </c>
      <c r="E603" t="s">
        <v>230</v>
      </c>
      <c r="F603" t="s">
        <v>229</v>
      </c>
      <c r="G603" s="43">
        <v>0</v>
      </c>
      <c r="H603">
        <v>2013</v>
      </c>
    </row>
    <row r="604" spans="1:8">
      <c r="A604" t="s">
        <v>176</v>
      </c>
      <c r="B604">
        <v>54.064999999999998</v>
      </c>
      <c r="C604">
        <v>130.85166666666666</v>
      </c>
      <c r="D604" t="s">
        <v>66</v>
      </c>
      <c r="E604" t="s">
        <v>230</v>
      </c>
      <c r="F604" t="s">
        <v>229</v>
      </c>
      <c r="G604" s="43">
        <v>79</v>
      </c>
      <c r="H604">
        <v>2013</v>
      </c>
    </row>
    <row r="605" spans="1:8">
      <c r="A605" t="s">
        <v>115</v>
      </c>
      <c r="B605">
        <v>50.94166666666667</v>
      </c>
      <c r="C605">
        <v>127.92</v>
      </c>
      <c r="D605" t="s">
        <v>51</v>
      </c>
      <c r="E605" t="s">
        <v>223</v>
      </c>
      <c r="F605" t="s">
        <v>227</v>
      </c>
      <c r="G605" s="43">
        <v>676</v>
      </c>
      <c r="H605">
        <v>2013</v>
      </c>
    </row>
    <row r="606" spans="1:8">
      <c r="A606" t="s">
        <v>118</v>
      </c>
      <c r="B606">
        <v>50.94166666666667</v>
      </c>
      <c r="C606">
        <v>127.65666666666667</v>
      </c>
      <c r="D606" t="s">
        <v>51</v>
      </c>
      <c r="E606" t="s">
        <v>223</v>
      </c>
      <c r="F606" t="s">
        <v>227</v>
      </c>
      <c r="G606" s="43">
        <v>437</v>
      </c>
      <c r="H606">
        <v>2013</v>
      </c>
    </row>
    <row r="607" spans="1:8">
      <c r="A607" t="s">
        <v>123</v>
      </c>
      <c r="B607">
        <v>50.74666666666667</v>
      </c>
      <c r="C607">
        <v>126.72166666666666</v>
      </c>
      <c r="D607" t="s">
        <v>66</v>
      </c>
      <c r="E607" t="s">
        <v>223</v>
      </c>
      <c r="F607" t="s">
        <v>227</v>
      </c>
      <c r="G607" s="43">
        <v>46</v>
      </c>
      <c r="H607">
        <v>2013</v>
      </c>
    </row>
    <row r="608" spans="1:8">
      <c r="A608" t="s">
        <v>120</v>
      </c>
      <c r="B608">
        <v>50.91</v>
      </c>
      <c r="C608">
        <v>127.44166666666666</v>
      </c>
      <c r="D608" t="s">
        <v>51</v>
      </c>
      <c r="E608" t="s">
        <v>223</v>
      </c>
      <c r="F608" t="s">
        <v>227</v>
      </c>
      <c r="G608" s="43">
        <v>157</v>
      </c>
      <c r="H608">
        <v>2013</v>
      </c>
    </row>
    <row r="609" spans="1:8">
      <c r="A609" t="s">
        <v>104</v>
      </c>
      <c r="B609">
        <v>50.791666666666664</v>
      </c>
      <c r="C609">
        <v>128.77000000000001</v>
      </c>
      <c r="D609" t="s">
        <v>66</v>
      </c>
      <c r="E609" t="s">
        <v>222</v>
      </c>
      <c r="F609" t="s">
        <v>227</v>
      </c>
      <c r="G609" s="43">
        <v>756</v>
      </c>
      <c r="H609">
        <v>2013</v>
      </c>
    </row>
    <row r="610" spans="1:8">
      <c r="A610" t="s">
        <v>100</v>
      </c>
      <c r="B610">
        <v>50.801666666666669</v>
      </c>
      <c r="C610">
        <v>128.78</v>
      </c>
      <c r="D610" t="s">
        <v>103</v>
      </c>
      <c r="E610" t="s">
        <v>222</v>
      </c>
      <c r="F610" t="s">
        <v>227</v>
      </c>
      <c r="G610" s="43">
        <v>409</v>
      </c>
      <c r="H610">
        <v>2013</v>
      </c>
    </row>
    <row r="611" spans="1:8">
      <c r="A611" t="s">
        <v>107</v>
      </c>
      <c r="B611">
        <v>50.82</v>
      </c>
      <c r="C611">
        <v>128.90333333333334</v>
      </c>
      <c r="D611" t="s">
        <v>103</v>
      </c>
      <c r="E611" t="s">
        <v>222</v>
      </c>
      <c r="F611" t="s">
        <v>227</v>
      </c>
      <c r="G611" s="43">
        <v>336</v>
      </c>
      <c r="H611">
        <v>2013</v>
      </c>
    </row>
    <row r="612" spans="1:8">
      <c r="A612" t="s">
        <v>110</v>
      </c>
      <c r="B612">
        <v>50.87166666666667</v>
      </c>
      <c r="C612">
        <v>129.07666666666665</v>
      </c>
      <c r="D612" t="s">
        <v>103</v>
      </c>
      <c r="E612" t="s">
        <v>222</v>
      </c>
      <c r="F612" t="s">
        <v>227</v>
      </c>
      <c r="G612" s="43">
        <v>5348</v>
      </c>
      <c r="H612">
        <v>2013</v>
      </c>
    </row>
    <row r="613" spans="1:8">
      <c r="A613" t="s">
        <v>82</v>
      </c>
      <c r="B613">
        <v>50.011666666666663</v>
      </c>
      <c r="C613">
        <v>127.52666666666667</v>
      </c>
      <c r="D613" t="s">
        <v>66</v>
      </c>
      <c r="E613" t="s">
        <v>128</v>
      </c>
      <c r="F613" t="s">
        <v>227</v>
      </c>
      <c r="G613" s="43">
        <v>1041</v>
      </c>
      <c r="H613">
        <v>2013</v>
      </c>
    </row>
    <row r="614" spans="1:8">
      <c r="A614" t="s">
        <v>94</v>
      </c>
      <c r="B614">
        <v>50.784999999999997</v>
      </c>
      <c r="C614">
        <v>128.41999999999999</v>
      </c>
      <c r="D614" t="s">
        <v>78</v>
      </c>
      <c r="E614" t="s">
        <v>128</v>
      </c>
      <c r="F614" t="s">
        <v>227</v>
      </c>
      <c r="G614" s="43">
        <v>0</v>
      </c>
      <c r="H614">
        <v>2013</v>
      </c>
    </row>
    <row r="615" spans="1:8">
      <c r="A615" t="s">
        <v>46</v>
      </c>
      <c r="B615">
        <v>48.615000000000002</v>
      </c>
      <c r="C615">
        <v>124.76166666666667</v>
      </c>
      <c r="D615" t="s">
        <v>51</v>
      </c>
      <c r="E615" t="s">
        <v>128</v>
      </c>
      <c r="F615" t="s">
        <v>227</v>
      </c>
      <c r="G615" s="43">
        <v>1027</v>
      </c>
      <c r="H615">
        <v>2013</v>
      </c>
    </row>
    <row r="616" spans="1:8">
      <c r="A616" t="s">
        <v>67</v>
      </c>
      <c r="B616">
        <v>49.171666666666667</v>
      </c>
      <c r="C616">
        <v>125.09166666666667</v>
      </c>
      <c r="D616" t="s">
        <v>66</v>
      </c>
      <c r="E616" t="s">
        <v>128</v>
      </c>
      <c r="F616" t="s">
        <v>227</v>
      </c>
      <c r="G616" s="43">
        <v>150</v>
      </c>
      <c r="H616">
        <v>2013</v>
      </c>
    </row>
    <row r="617" spans="1:8">
      <c r="A617" t="s">
        <v>79</v>
      </c>
      <c r="B617">
        <v>49.743333333333332</v>
      </c>
      <c r="C617">
        <v>126.97833333333334</v>
      </c>
      <c r="D617" t="s">
        <v>51</v>
      </c>
      <c r="E617" t="s">
        <v>128</v>
      </c>
      <c r="F617" t="s">
        <v>227</v>
      </c>
      <c r="G617" s="43">
        <v>2</v>
      </c>
      <c r="H617">
        <v>2013</v>
      </c>
    </row>
    <row r="618" spans="1:8">
      <c r="A618" t="s">
        <v>62</v>
      </c>
      <c r="B618">
        <v>49.038333333333334</v>
      </c>
      <c r="C618">
        <v>125.71833333333333</v>
      </c>
      <c r="D618" t="s">
        <v>66</v>
      </c>
      <c r="E618" t="s">
        <v>128</v>
      </c>
      <c r="F618" t="s">
        <v>227</v>
      </c>
      <c r="G618" s="43">
        <v>415</v>
      </c>
      <c r="H618">
        <v>2013</v>
      </c>
    </row>
    <row r="619" spans="1:8">
      <c r="A619" t="s">
        <v>59</v>
      </c>
      <c r="B619">
        <v>48.875</v>
      </c>
      <c r="C619">
        <v>125.47833333333334</v>
      </c>
      <c r="D619" t="s">
        <v>51</v>
      </c>
      <c r="E619" t="s">
        <v>128</v>
      </c>
      <c r="F619" t="s">
        <v>227</v>
      </c>
      <c r="G619" s="43">
        <v>354</v>
      </c>
      <c r="H619">
        <v>2013</v>
      </c>
    </row>
    <row r="620" spans="1:8">
      <c r="A620" t="s">
        <v>87</v>
      </c>
      <c r="B620">
        <v>50.101666666666667</v>
      </c>
      <c r="C620">
        <v>127.64666666666666</v>
      </c>
      <c r="D620" t="s">
        <v>90</v>
      </c>
      <c r="E620" t="s">
        <v>128</v>
      </c>
      <c r="F620" t="s">
        <v>227</v>
      </c>
      <c r="G620" s="43">
        <v>0</v>
      </c>
      <c r="H620">
        <v>2013</v>
      </c>
    </row>
    <row r="621" spans="1:8">
      <c r="A621" t="s">
        <v>52</v>
      </c>
      <c r="B621">
        <v>48.723333333333336</v>
      </c>
      <c r="C621">
        <v>125.105</v>
      </c>
      <c r="D621" t="s">
        <v>51</v>
      </c>
      <c r="E621" t="s">
        <v>128</v>
      </c>
      <c r="F621" t="s">
        <v>227</v>
      </c>
      <c r="G621" s="43">
        <v>146</v>
      </c>
      <c r="H621">
        <v>2013</v>
      </c>
    </row>
    <row r="622" spans="1:8">
      <c r="A622" t="s">
        <v>71</v>
      </c>
      <c r="B622">
        <v>49.403333333333336</v>
      </c>
      <c r="C622">
        <v>126.58333333333333</v>
      </c>
      <c r="D622" t="s">
        <v>66</v>
      </c>
      <c r="E622" t="s">
        <v>128</v>
      </c>
      <c r="F622" t="s">
        <v>227</v>
      </c>
      <c r="G622" s="43">
        <v>393</v>
      </c>
      <c r="H622">
        <v>2013</v>
      </c>
    </row>
    <row r="623" spans="1:8">
      <c r="A623" t="s">
        <v>75</v>
      </c>
      <c r="B623">
        <v>49.30833333333333</v>
      </c>
      <c r="C623">
        <v>126.22833333333334</v>
      </c>
      <c r="D623" t="s">
        <v>78</v>
      </c>
      <c r="E623" t="s">
        <v>128</v>
      </c>
      <c r="F623" t="s">
        <v>227</v>
      </c>
      <c r="G623" s="43">
        <v>0</v>
      </c>
      <c r="H623">
        <v>2013</v>
      </c>
    </row>
    <row r="624" spans="1:8">
      <c r="A624" t="s">
        <v>91</v>
      </c>
      <c r="B624">
        <v>50.111666666666665</v>
      </c>
      <c r="C624">
        <v>127.94</v>
      </c>
      <c r="D624" t="s">
        <v>51</v>
      </c>
      <c r="E624" t="s">
        <v>128</v>
      </c>
      <c r="F624" t="s">
        <v>227</v>
      </c>
      <c r="G624" s="43">
        <v>338</v>
      </c>
      <c r="H624">
        <v>2013</v>
      </c>
    </row>
    <row r="625" spans="1:8">
      <c r="A625" t="s">
        <v>56</v>
      </c>
      <c r="B625">
        <v>48.86333333333333</v>
      </c>
      <c r="C625">
        <v>125.35833333333333</v>
      </c>
      <c r="D625" t="s">
        <v>51</v>
      </c>
      <c r="E625" t="s">
        <v>128</v>
      </c>
      <c r="F625" t="s">
        <v>227</v>
      </c>
      <c r="G625" s="43">
        <v>103</v>
      </c>
      <c r="H625">
        <v>2013</v>
      </c>
    </row>
  </sheetData>
  <sortState ref="A2:H625">
    <sortCondition ref="H2:H625"/>
    <sortCondition ref="F2:F625"/>
    <sortCondition ref="E2:E625"/>
    <sortCondition ref="A2:A62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SSL counts 1971-2013</vt:lpstr>
      <vt:lpstr>Stier_WordToExcel</vt:lpstr>
      <vt:lpstr>Stier_longform</vt:lpstr>
    </vt:vector>
  </TitlesOfParts>
  <Company>DFO-MPO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</dc:creator>
  <cp:lastModifiedBy>Adrian Stier</cp:lastModifiedBy>
  <dcterms:created xsi:type="dcterms:W3CDTF">2014-12-03T03:53:37Z</dcterms:created>
  <dcterms:modified xsi:type="dcterms:W3CDTF">2015-02-17T21:58:03Z</dcterms:modified>
</cp:coreProperties>
</file>