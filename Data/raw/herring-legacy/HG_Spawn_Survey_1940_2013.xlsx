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51120" windowHeight="28360" tabRatio="500" activeTab="1"/>
  </bookViews>
  <sheets>
    <sheet name="Meta Data" sheetId="2" r:id="rId1"/>
    <sheet name="Spawn_All_Sections" sheetId="1" r:id="rId2"/>
    <sheet name="Catch Data for 3 major stocks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594" i="1" l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593" i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D38" i="2"/>
</calcChain>
</file>

<file path=xl/sharedStrings.xml><?xml version="1.0" encoding="utf-8"?>
<sst xmlns="http://schemas.openxmlformats.org/spreadsheetml/2006/main" count="3658" uniqueCount="91">
  <si>
    <t>*</t>
  </si>
  <si>
    <t>Year</t>
  </si>
  <si>
    <t>Total records</t>
  </si>
  <si>
    <t>Spawn Habitat Index</t>
  </si>
  <si>
    <t>Total  Length (m)</t>
  </si>
  <si>
    <t>Mean Width (m)</t>
  </si>
  <si>
    <t>Mean Layers</t>
  </si>
  <si>
    <t>Spawn Date (DOY) Mean</t>
  </si>
  <si>
    <t>Spawn Date (DOY) Stdev</t>
  </si>
  <si>
    <t>Spawn Date (DOY) Wgt</t>
  </si>
  <si>
    <t>Spawn Date (DOY) Min</t>
  </si>
  <si>
    <t>Spawn Date (DOY) Max</t>
  </si>
  <si>
    <t>Diver Survey %</t>
  </si>
  <si>
    <t xml:space="preserve">Section </t>
  </si>
  <si>
    <t>Name</t>
  </si>
  <si>
    <t>Naden Harbour</t>
  </si>
  <si>
    <t>Masset Inlet</t>
  </si>
  <si>
    <t>Spawn Habitat Index (SHI) = Sum of [length*median(width*layers)]</t>
  </si>
  <si>
    <t>Wgt spawn date = Mean spawn date (Day Of Year) weighted by SHI</t>
  </si>
  <si>
    <t>Wgt SST = Mean sea surface temperature (oC) weighted by SHI Previous</t>
  </si>
  <si>
    <t>Port Louis</t>
  </si>
  <si>
    <t>Rennell Sound</t>
  </si>
  <si>
    <t>Cartwright Sound</t>
  </si>
  <si>
    <t>Skidegate Inlet</t>
  </si>
  <si>
    <t>Englefield Bay</t>
  </si>
  <si>
    <t>Cumshewa Inlet</t>
  </si>
  <si>
    <t>Tasu Sound &amp; Gowgaia Bay</t>
  </si>
  <si>
    <t>Laskeek Bay</t>
  </si>
  <si>
    <t>Juan Perez Sound</t>
  </si>
  <si>
    <t>Skincuttle Inlet</t>
  </si>
  <si>
    <t>Louscoone Inlet</t>
  </si>
  <si>
    <t>HG Stock</t>
  </si>
  <si>
    <t>2W</t>
  </si>
  <si>
    <t>Number of Records</t>
  </si>
  <si>
    <t xml:space="preserve">Tottal Catch (tonnes) </t>
  </si>
  <si>
    <t>Catch Jan-Apr (tons)</t>
  </si>
  <si>
    <t>Catch May-Aug (tons)</t>
  </si>
  <si>
    <t>Catch Sep-Dec (tons)</t>
  </si>
  <si>
    <t>Gillnet (tons)</t>
  </si>
  <si>
    <t>Sein (tons)</t>
  </si>
  <si>
    <t xml:space="preserve">Trawl (tons) </t>
  </si>
  <si>
    <t>SOK Data</t>
  </si>
  <si>
    <r>
      <t>3) Spawn-on-kelp (SOK) </t>
    </r>
    <r>
      <rPr>
        <b/>
        <sz val="14"/>
        <color rgb="FF000000"/>
        <rFont val="Times"/>
      </rPr>
      <t>estimates</t>
    </r>
    <r>
      <rPr>
        <sz val="14"/>
        <color rgb="FF000000"/>
        <rFont val="Times"/>
      </rPr>
      <t> are based on a fixed tonnage per licensed, closed (100 tons or 91 tonnes)</t>
    </r>
  </si>
  <si>
    <t>herring pond or open (35 tons or 32 tonnes) herring pond, rather than on an actual amount captured</t>
  </si>
  <si>
    <t>or processed.   Although SOK operations began in 1975, separate allocations did not occur until 1986</t>
  </si>
  <si>
    <t>after a 1982-83 study was conducted by Shields et al. (1985). Pre-1986 estimates were back-calculated.</t>
  </si>
  <si>
    <r>
      <t>*Footnotes</t>
    </r>
    <r>
      <rPr>
        <sz val="14"/>
        <color rgb="FF000000"/>
        <rFont val="Times"/>
      </rPr>
      <t>:</t>
    </r>
  </si>
  <si>
    <t>(1) Herring catches from 1888 to 1949 and from 1998 to 2013 are based on previous compilations.</t>
  </si>
  <si>
    <t>The "Number of records" shown in these tables during these years, refer to the number of compilations</t>
  </si>
  <si>
    <t>rather than the total number of individual, catch records.   Only catches from 1950 to 1997 represent</t>
  </si>
  <si>
    <t>individually summed catch records from the active database. Also note that in some areas (e.g. 13, 14, 15 &amp; 17)</t>
  </si>
  <si>
    <r>
      <t>catches cannot be clearly distinguished </t>
    </r>
    <r>
      <rPr>
        <b/>
        <sz val="14"/>
        <color rgb="FF000000"/>
        <rFont val="Times"/>
      </rPr>
      <t>by season</t>
    </r>
    <r>
      <rPr>
        <sz val="14"/>
        <color rgb="FF000000"/>
        <rFont val="Times"/>
      </rPr>
      <t> from 1997 to 2013.   Some "winter food and bait" catches</t>
    </r>
  </si>
  <si>
    <t>shown captured within the Sept-Dec season were actually captured in January of the following year while</t>
  </si>
  <si>
    <t>some "special use" catches shown captured in Sept-Dec were captured in May-Aug. All roe fishery, spawn-on-kelp</t>
  </si>
  <si>
    <t>and test fishery catches, however, are shown captured exclusively in the Jan-Apr season from 1997 to 2013.</t>
  </si>
  <si>
    <t>Discrepancies are due to catch data compiled by "use" rather than by individual catch date during these years.</t>
  </si>
  <si>
    <r>
      <t>(2) All catches are aggregated by </t>
    </r>
    <r>
      <rPr>
        <b/>
        <sz val="14"/>
        <color rgb="FF000000"/>
        <rFont val="Times"/>
      </rPr>
      <t>calendar year</t>
    </r>
    <r>
      <rPr>
        <sz val="14"/>
        <color rgb="FF000000"/>
        <rFont val="Times"/>
      </rPr>
      <t> (Jan-Dec) to maintain consistency throughout the entire</t>
    </r>
  </si>
  <si>
    <t>time series since 1888.   Catches in these tables can therefore, differ slightly from those in stock assessment</t>
  </si>
  <si>
    <t>reports which are partitioned by seasonal spawning cohorts (July 1/yr1 to June 30/yr2).</t>
  </si>
  <si>
    <t>Area1</t>
  </si>
  <si>
    <t>2E</t>
  </si>
  <si>
    <t>SOK (tons?)</t>
  </si>
  <si>
    <t>Section Number</t>
  </si>
  <si>
    <t>Latitude</t>
  </si>
  <si>
    <t xml:space="preserve">Longitude </t>
  </si>
  <si>
    <t>DFO Stock</t>
  </si>
  <si>
    <t>Notes</t>
  </si>
  <si>
    <t>1988 Start Scuba Survey</t>
  </si>
  <si>
    <t>http://www.pac.dfo-mpo.gc.ca/science/species-especes/pelagic-pelagique/herring-hareng/herspawn/AVI/BCN_SPA.AVI</t>
  </si>
  <si>
    <t>Spatially explicit catc</t>
  </si>
  <si>
    <t>http://www.pac.dfo-mpo.gc.ca/science/species-especes/pelagic-pelagique/herring-hareng/herspawn/AVI/1NBC_cat.AVI</t>
  </si>
  <si>
    <t>Spawn and Catch Data</t>
  </si>
  <si>
    <t>http://www.pac.dfo-mpo.gc.ca/science/species-especes/pelagic-pelagique/herring-hareng/herspawn/pages/project-eng.html</t>
  </si>
  <si>
    <t>Catch Data for 3 substocks</t>
  </si>
  <si>
    <t>http://www.pac.dfo-mpo.gc.ca/science/species-especes/pelagic-pelagique/herring-hareng/herspawn/tables/qcifrmc-eng.html</t>
  </si>
  <si>
    <t>Local Catch Data Tabulated</t>
  </si>
  <si>
    <t>Locations of  all spawn sites</t>
  </si>
  <si>
    <t>http://www.pac.dfo-mpo.gc.ca/science/species-especes/pelagic-pelagique/herring-hareng/herspawn/locindex-eng.html</t>
  </si>
  <si>
    <t xml:space="preserve">also known as Skidegate Chnl W      </t>
  </si>
  <si>
    <t>52.7833, 132.05 -Tasu alone</t>
  </si>
  <si>
    <t>Herring movement</t>
  </si>
  <si>
    <t>http://www.pac.dfo-mpo.gc.ca/science/species-especes/pelagic-pelagique/herring-hareng/hertags/qci_stav-eng.htm</t>
  </si>
  <si>
    <t>SOK/Total</t>
  </si>
  <si>
    <t xml:space="preserve">Stocks 22, 11, and 12 are all ignored from 2013 stock assessment </t>
  </si>
  <si>
    <t xml:space="preserve">Stocks 6, 21-25 are 2E </t>
  </si>
  <si>
    <t xml:space="preserve">Stocks 1-5 are 2W </t>
  </si>
  <si>
    <t>?</t>
  </si>
  <si>
    <t xml:space="preserve">2E is called "Haida Gwaii" in some of the stock assessments </t>
  </si>
  <si>
    <t>Section Name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</si>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</sst>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b/>
      <sz val="10"/>
      <color rgb="FF000000"/>
      <name val="Courie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6500"/>
      <name val="Calibri"/>
      <family val="2"/>
      <scheme val="minor"/>
    </font>
    <font>
      <sz val="14"/>
      <color rgb="FF000000"/>
      <name val="Times"/>
    </font>
    <font>
      <b/>
      <sz val="14"/>
      <color rgb="FF000000"/>
      <name val="Times"/>
    </font>
    <font>
      <sz val="10"/>
      <color theme="1"/>
      <name val="Calibri (Body)"/>
    </font>
    <font>
      <sz val="10"/>
      <color rgb="FF000000"/>
      <name val="Calibri (Body)"/>
    </font>
    <font>
      <u/>
      <sz val="10"/>
      <color theme="1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/>
    <xf numFmtId="0" fontId="2" fillId="0" borderId="0" xfId="13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13" applyFont="1"/>
    <xf numFmtId="0" fontId="5" fillId="2" borderId="0" xfId="45"/>
  </cellXfs>
  <cellStyles count="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/>
    <cellStyle name="Neutral" xfId="45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ac.dfo-mpo.gc.ca/science/species-especes/pelagic-pelagique/herring-hareng/herspawn/julian-eng.html" TargetMode="External"/><Relationship Id="rId2" Type="http://schemas.openxmlformats.org/officeDocument/2006/relationships/hyperlink" Target="javascript:history.back()" TargetMode="External"/><Relationship Id="rId3" Type="http://schemas.openxmlformats.org/officeDocument/2006/relationships/hyperlink" Target="http://www.pac.dfo-mpo.gc.ca/science/species-especes/pelagic-pelagique/herring-hareng/herspawn/004fig-e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selection activeCell="G49" sqref="G49"/>
    </sheetView>
  </sheetViews>
  <sheetFormatPr baseColWidth="10" defaultRowHeight="15" x14ac:dyDescent="0"/>
  <cols>
    <col min="2" max="2" width="19.5" customWidth="1"/>
  </cols>
  <sheetData>
    <row r="1" spans="1:2">
      <c r="A1" s="1" t="s">
        <v>17</v>
      </c>
    </row>
    <row r="2" spans="1:2">
      <c r="A2" s="4" t="s">
        <v>18</v>
      </c>
    </row>
    <row r="3" spans="1:2">
      <c r="A3" s="4" t="s">
        <v>19</v>
      </c>
    </row>
    <row r="7" spans="1:2">
      <c r="A7" t="s">
        <v>41</v>
      </c>
      <c r="B7" s="5" t="s">
        <v>42</v>
      </c>
    </row>
    <row r="8" spans="1:2">
      <c r="B8" s="5" t="s">
        <v>43</v>
      </c>
    </row>
    <row r="9" spans="1:2">
      <c r="B9" s="5" t="s">
        <v>44</v>
      </c>
    </row>
    <row r="10" spans="1:2">
      <c r="B10" s="5" t="s">
        <v>45</v>
      </c>
    </row>
    <row r="13" spans="1:2">
      <c r="A13" s="6" t="s">
        <v>46</v>
      </c>
    </row>
    <row r="14" spans="1:2">
      <c r="A14" s="5" t="s">
        <v>47</v>
      </c>
    </row>
    <row r="15" spans="1:2">
      <c r="A15" s="5" t="s">
        <v>48</v>
      </c>
    </row>
    <row r="16" spans="1:2">
      <c r="A16" s="5" t="s">
        <v>49</v>
      </c>
    </row>
    <row r="17" spans="1:6">
      <c r="A17" s="5" t="s">
        <v>50</v>
      </c>
    </row>
    <row r="18" spans="1:6">
      <c r="A18" s="5" t="s">
        <v>51</v>
      </c>
    </row>
    <row r="19" spans="1:6">
      <c r="A19" s="5" t="s">
        <v>52</v>
      </c>
    </row>
    <row r="20" spans="1:6">
      <c r="A20" s="5" t="s">
        <v>53</v>
      </c>
    </row>
    <row r="21" spans="1:6">
      <c r="A21" s="5" t="s">
        <v>54</v>
      </c>
    </row>
    <row r="22" spans="1:6">
      <c r="A22" s="5" t="s">
        <v>55</v>
      </c>
    </row>
    <row r="24" spans="1:6">
      <c r="A24" s="5" t="s">
        <v>56</v>
      </c>
    </row>
    <row r="25" spans="1:6">
      <c r="A25" s="5" t="s">
        <v>57</v>
      </c>
    </row>
    <row r="26" spans="1:6">
      <c r="A26" s="5" t="s">
        <v>58</v>
      </c>
    </row>
    <row r="29" spans="1:6">
      <c r="A29" t="s">
        <v>62</v>
      </c>
      <c r="B29" t="s">
        <v>14</v>
      </c>
      <c r="C29" t="s">
        <v>63</v>
      </c>
      <c r="D29" t="s">
        <v>64</v>
      </c>
      <c r="E29" t="s">
        <v>65</v>
      </c>
      <c r="F29" t="s">
        <v>66</v>
      </c>
    </row>
    <row r="30" spans="1:6">
      <c r="A30" s="7">
        <v>1</v>
      </c>
      <c r="B30" s="8" t="s">
        <v>26</v>
      </c>
      <c r="C30" s="8">
        <v>52.405999999999999</v>
      </c>
      <c r="D30" s="7">
        <v>-131.52000000000001</v>
      </c>
      <c r="E30" s="7" t="s">
        <v>32</v>
      </c>
      <c r="F30" s="7"/>
    </row>
    <row r="31" spans="1:6">
      <c r="A31" s="7">
        <v>2</v>
      </c>
      <c r="B31" s="8" t="s">
        <v>20</v>
      </c>
      <c r="C31" s="8">
        <v>53.708399999999997</v>
      </c>
      <c r="D31" s="8">
        <v>-132.959</v>
      </c>
      <c r="E31" s="7" t="s">
        <v>32</v>
      </c>
      <c r="F31" s="7"/>
    </row>
    <row r="32" spans="1:6">
      <c r="A32" s="7">
        <v>3</v>
      </c>
      <c r="B32" s="8" t="s">
        <v>21</v>
      </c>
      <c r="C32" s="8">
        <v>53.31</v>
      </c>
      <c r="D32" s="7">
        <v>-132.43299999999999</v>
      </c>
      <c r="E32" s="7" t="s">
        <v>32</v>
      </c>
      <c r="F32" s="7"/>
    </row>
    <row r="33" spans="1:7">
      <c r="A33" s="7">
        <v>4</v>
      </c>
      <c r="B33" s="8" t="s">
        <v>22</v>
      </c>
      <c r="C33" s="8">
        <v>53.13</v>
      </c>
      <c r="D33" s="7">
        <v>-132.4</v>
      </c>
      <c r="E33" s="7" t="s">
        <v>32</v>
      </c>
      <c r="F33" s="7"/>
    </row>
    <row r="34" spans="1:7">
      <c r="A34" s="7">
        <v>5</v>
      </c>
      <c r="B34" s="8" t="s">
        <v>24</v>
      </c>
      <c r="C34" s="8">
        <v>53.008499999999998</v>
      </c>
      <c r="D34" s="7">
        <v>-132.22999999999999</v>
      </c>
      <c r="E34" s="7" t="s">
        <v>32</v>
      </c>
      <c r="F34" s="7"/>
    </row>
    <row r="35" spans="1:7">
      <c r="A35" s="7">
        <v>6</v>
      </c>
      <c r="B35" s="8" t="s">
        <v>30</v>
      </c>
      <c r="C35" s="8">
        <v>52.215499999999999</v>
      </c>
      <c r="D35" s="7">
        <v>-131.27099999999999</v>
      </c>
      <c r="E35" s="7" t="s">
        <v>60</v>
      </c>
      <c r="F35" s="7"/>
    </row>
    <row r="36" spans="1:7">
      <c r="A36" s="7">
        <v>11</v>
      </c>
      <c r="B36" s="8" t="s">
        <v>16</v>
      </c>
      <c r="C36" s="8">
        <v>53.6614</v>
      </c>
      <c r="D36" s="8">
        <v>-132.67099999999999</v>
      </c>
      <c r="E36" s="7" t="s">
        <v>86</v>
      </c>
      <c r="F36" s="9" t="s">
        <v>78</v>
      </c>
      <c r="G36" s="7"/>
    </row>
    <row r="37" spans="1:7">
      <c r="A37" s="7">
        <v>12</v>
      </c>
      <c r="B37" s="8" t="s">
        <v>15</v>
      </c>
      <c r="C37" s="8">
        <v>53.968200000000003</v>
      </c>
      <c r="D37" s="7">
        <v>-132.64500000000001</v>
      </c>
      <c r="E37" s="7" t="s">
        <v>86</v>
      </c>
      <c r="F37" s="7"/>
      <c r="G37" s="7"/>
    </row>
    <row r="38" spans="1:7">
      <c r="A38" s="7">
        <v>21</v>
      </c>
      <c r="B38" s="8" t="s">
        <v>28</v>
      </c>
      <c r="C38" s="8">
        <v>52.5</v>
      </c>
      <c r="D38" s="7">
        <f>-131.417</f>
        <v>-131.417</v>
      </c>
      <c r="E38" s="7" t="s">
        <v>60</v>
      </c>
      <c r="F38" s="8" t="s">
        <v>79</v>
      </c>
      <c r="G38" s="7"/>
    </row>
    <row r="39" spans="1:7">
      <c r="A39" s="7">
        <v>22</v>
      </c>
      <c r="B39" s="8" t="s">
        <v>23</v>
      </c>
      <c r="C39" s="8">
        <v>53.2333</v>
      </c>
      <c r="D39" s="7">
        <v>-132</v>
      </c>
      <c r="E39" s="7" t="s">
        <v>86</v>
      </c>
      <c r="F39" s="7"/>
      <c r="G39" s="7"/>
    </row>
    <row r="40" spans="1:7">
      <c r="A40" s="7">
        <v>23</v>
      </c>
      <c r="B40" s="8" t="s">
        <v>25</v>
      </c>
      <c r="C40" s="8">
        <v>53.05</v>
      </c>
      <c r="D40" s="8">
        <v>-131.78299999999999</v>
      </c>
      <c r="E40" s="7" t="s">
        <v>60</v>
      </c>
      <c r="F40" s="7"/>
      <c r="G40" s="7"/>
    </row>
    <row r="41" spans="1:7">
      <c r="A41" s="7">
        <v>24</v>
      </c>
      <c r="B41" s="8" t="s">
        <v>27</v>
      </c>
      <c r="C41" s="8">
        <v>52.816699999999997</v>
      </c>
      <c r="D41" s="7">
        <v>-131.583</v>
      </c>
      <c r="E41" s="7" t="s">
        <v>60</v>
      </c>
      <c r="F41" s="7"/>
      <c r="G41" s="7"/>
    </row>
    <row r="42" spans="1:7">
      <c r="A42" s="7">
        <v>25</v>
      </c>
      <c r="B42" s="8" t="s">
        <v>29</v>
      </c>
      <c r="C42" s="8">
        <v>52.333300000000001</v>
      </c>
      <c r="D42" s="7">
        <v>-131.21700000000001</v>
      </c>
      <c r="E42" s="7" t="s">
        <v>60</v>
      </c>
      <c r="F42" s="7"/>
      <c r="G42" s="7"/>
    </row>
    <row r="47" spans="1:7">
      <c r="A47" t="s">
        <v>67</v>
      </c>
      <c r="B47" t="s">
        <v>68</v>
      </c>
    </row>
    <row r="48" spans="1:7">
      <c r="A48" s="7" t="s">
        <v>69</v>
      </c>
      <c r="B48" t="s">
        <v>70</v>
      </c>
    </row>
    <row r="49" spans="1:2">
      <c r="A49" s="7" t="s">
        <v>71</v>
      </c>
      <c r="B49" t="s">
        <v>72</v>
      </c>
    </row>
    <row r="50" spans="1:2">
      <c r="A50" s="7" t="s">
        <v>73</v>
      </c>
      <c r="B50" t="s">
        <v>74</v>
      </c>
    </row>
    <row r="51" spans="1:2">
      <c r="A51" s="7" t="s">
        <v>75</v>
      </c>
      <c r="B51" t="s">
        <v>74</v>
      </c>
    </row>
    <row r="52" spans="1:2">
      <c r="A52" s="7" t="s">
        <v>76</v>
      </c>
      <c r="B52" t="s">
        <v>77</v>
      </c>
    </row>
    <row r="53" spans="1:2">
      <c r="A53" s="7" t="s">
        <v>80</v>
      </c>
      <c r="B53" t="s">
        <v>81</v>
      </c>
    </row>
    <row r="57" spans="1:2">
      <c r="A57" t="s">
        <v>83</v>
      </c>
    </row>
    <row r="58" spans="1:2">
      <c r="A58" t="s">
        <v>84</v>
      </c>
    </row>
    <row r="59" spans="1:2">
      <c r="A59" t="s">
        <v>85</v>
      </c>
    </row>
    <row r="60" spans="1:2">
      <c r="A60" t="s">
        <v>87</v>
      </c>
    </row>
  </sheetData>
  <sortState ref="A30:D42">
    <sortCondition ref="A30:A42"/>
  </sortState>
  <hyperlinks>
    <hyperlink ref="A2" r:id="rId1"/>
    <hyperlink ref="A3" r:id="rId2"/>
    <hyperlink ref="F36" r:id="rId3" display=" Skidegate Chnl W      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2"/>
  <sheetViews>
    <sheetView tabSelected="1" workbookViewId="0">
      <selection activeCell="R29" sqref="R29"/>
    </sheetView>
  </sheetViews>
  <sheetFormatPr baseColWidth="10" defaultRowHeight="15" x14ac:dyDescent="0"/>
  <cols>
    <col min="14" max="14" width="17.6640625" customWidth="1"/>
  </cols>
  <sheetData>
    <row r="1" spans="1:16" ht="4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88</v>
      </c>
      <c r="O1" s="2" t="s">
        <v>89</v>
      </c>
      <c r="P1" s="2" t="s">
        <v>90</v>
      </c>
    </row>
    <row r="2" spans="1:16">
      <c r="A2">
        <v>1940</v>
      </c>
      <c r="B2">
        <v>0</v>
      </c>
      <c r="C2">
        <v>0</v>
      </c>
      <c r="D2">
        <v>0</v>
      </c>
      <c r="E2">
        <v>0</v>
      </c>
      <c r="F2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>
        <v>0</v>
      </c>
      <c r="M2">
        <v>1</v>
      </c>
      <c r="N2" t="s">
        <v>26</v>
      </c>
      <c r="O2" s="8">
        <v>52.405999999999999</v>
      </c>
      <c r="P2" s="7">
        <v>-131.52000000000001</v>
      </c>
    </row>
    <row r="3" spans="1:16">
      <c r="A3">
        <v>1941</v>
      </c>
      <c r="B3">
        <v>0</v>
      </c>
      <c r="C3">
        <v>0</v>
      </c>
      <c r="D3">
        <v>0</v>
      </c>
      <c r="E3">
        <v>0</v>
      </c>
      <c r="F3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>
        <v>0</v>
      </c>
      <c r="M3">
        <v>1</v>
      </c>
      <c r="N3" t="s">
        <v>26</v>
      </c>
      <c r="O3" s="8">
        <v>52.405999999999999</v>
      </c>
      <c r="P3" s="7">
        <v>-131.52000000000001</v>
      </c>
    </row>
    <row r="4" spans="1:16">
      <c r="A4">
        <v>1942</v>
      </c>
      <c r="B4">
        <v>0</v>
      </c>
      <c r="C4">
        <v>0</v>
      </c>
      <c r="D4">
        <v>0</v>
      </c>
      <c r="E4">
        <v>0</v>
      </c>
      <c r="F4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>
        <v>0</v>
      </c>
      <c r="M4">
        <v>1</v>
      </c>
      <c r="N4" t="s">
        <v>26</v>
      </c>
      <c r="O4" s="8">
        <v>52.405999999999999</v>
      </c>
      <c r="P4" s="7">
        <v>-131.52000000000001</v>
      </c>
    </row>
    <row r="5" spans="1:16">
      <c r="A5">
        <v>1943</v>
      </c>
      <c r="B5">
        <v>0</v>
      </c>
      <c r="C5">
        <v>0</v>
      </c>
      <c r="D5">
        <v>0</v>
      </c>
      <c r="E5">
        <v>0</v>
      </c>
      <c r="F5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>
        <v>0</v>
      </c>
      <c r="M5">
        <v>1</v>
      </c>
      <c r="N5" t="s">
        <v>26</v>
      </c>
      <c r="O5" s="8">
        <v>52.405999999999999</v>
      </c>
      <c r="P5" s="7">
        <v>-131.52000000000001</v>
      </c>
    </row>
    <row r="6" spans="1:16">
      <c r="A6">
        <v>1944</v>
      </c>
      <c r="B6">
        <v>0</v>
      </c>
      <c r="C6">
        <v>0</v>
      </c>
      <c r="D6">
        <v>0</v>
      </c>
      <c r="E6">
        <v>0</v>
      </c>
      <c r="F6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>
        <v>0</v>
      </c>
      <c r="M6">
        <v>1</v>
      </c>
      <c r="N6" t="s">
        <v>26</v>
      </c>
      <c r="O6" s="8">
        <v>52.405999999999999</v>
      </c>
      <c r="P6" s="7">
        <v>-131.52000000000001</v>
      </c>
    </row>
    <row r="7" spans="1:16">
      <c r="A7">
        <v>1945</v>
      </c>
      <c r="B7">
        <v>0</v>
      </c>
      <c r="C7">
        <v>0</v>
      </c>
      <c r="D7">
        <v>0</v>
      </c>
      <c r="E7">
        <v>0</v>
      </c>
      <c r="F7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>
        <v>0</v>
      </c>
      <c r="M7">
        <v>1</v>
      </c>
      <c r="N7" t="s">
        <v>26</v>
      </c>
      <c r="O7" s="8">
        <v>52.405999999999999</v>
      </c>
      <c r="P7" s="7">
        <v>-131.52000000000001</v>
      </c>
    </row>
    <row r="8" spans="1:16">
      <c r="A8">
        <v>1946</v>
      </c>
      <c r="B8">
        <v>0</v>
      </c>
      <c r="C8">
        <v>0</v>
      </c>
      <c r="D8">
        <v>0</v>
      </c>
      <c r="E8">
        <v>0</v>
      </c>
      <c r="F8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>
        <v>0</v>
      </c>
      <c r="M8">
        <v>1</v>
      </c>
      <c r="N8" t="s">
        <v>26</v>
      </c>
      <c r="O8" s="8">
        <v>52.405999999999999</v>
      </c>
      <c r="P8" s="7">
        <v>-131.52000000000001</v>
      </c>
    </row>
    <row r="9" spans="1:16">
      <c r="A9">
        <v>1947</v>
      </c>
      <c r="B9">
        <v>0</v>
      </c>
      <c r="C9">
        <v>0</v>
      </c>
      <c r="D9">
        <v>0</v>
      </c>
      <c r="E9">
        <v>0</v>
      </c>
      <c r="F9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>
        <v>0</v>
      </c>
      <c r="M9">
        <v>1</v>
      </c>
      <c r="N9" t="s">
        <v>26</v>
      </c>
      <c r="O9" s="8">
        <v>52.405999999999999</v>
      </c>
      <c r="P9" s="7">
        <v>-131.52000000000001</v>
      </c>
    </row>
    <row r="10" spans="1:16">
      <c r="A10">
        <v>1948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>
        <v>0</v>
      </c>
      <c r="M10">
        <v>1</v>
      </c>
      <c r="N10" t="s">
        <v>26</v>
      </c>
      <c r="O10" s="8">
        <v>52.405999999999999</v>
      </c>
      <c r="P10" s="7">
        <v>-131.52000000000001</v>
      </c>
    </row>
    <row r="11" spans="1:16">
      <c r="A11">
        <v>1949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>
        <v>0</v>
      </c>
      <c r="M11">
        <v>1</v>
      </c>
      <c r="N11" t="s">
        <v>26</v>
      </c>
      <c r="O11" s="8">
        <v>52.405999999999999</v>
      </c>
      <c r="P11" s="7">
        <v>-131.52000000000001</v>
      </c>
    </row>
    <row r="12" spans="1:16">
      <c r="A12">
        <v>1950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>
        <v>0</v>
      </c>
      <c r="M12">
        <v>1</v>
      </c>
      <c r="N12" t="s">
        <v>26</v>
      </c>
      <c r="O12" s="8">
        <v>52.405999999999999</v>
      </c>
      <c r="P12" s="7">
        <v>-131.52000000000001</v>
      </c>
    </row>
    <row r="13" spans="1:16">
      <c r="A13">
        <v>1951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>
        <v>0</v>
      </c>
      <c r="M13">
        <v>1</v>
      </c>
      <c r="N13" t="s">
        <v>26</v>
      </c>
      <c r="O13" s="8">
        <v>52.405999999999999</v>
      </c>
      <c r="P13" s="7">
        <v>-131.52000000000001</v>
      </c>
    </row>
    <row r="14" spans="1:16">
      <c r="A14">
        <v>1952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>
        <v>0</v>
      </c>
      <c r="M14">
        <v>1</v>
      </c>
      <c r="N14" t="s">
        <v>26</v>
      </c>
      <c r="O14" s="8">
        <v>52.405999999999999</v>
      </c>
      <c r="P14" s="7">
        <v>-131.52000000000001</v>
      </c>
    </row>
    <row r="15" spans="1:16">
      <c r="A15">
        <v>1953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>
        <v>0</v>
      </c>
      <c r="M15">
        <v>1</v>
      </c>
      <c r="N15" t="s">
        <v>26</v>
      </c>
      <c r="O15" s="8">
        <v>52.405999999999999</v>
      </c>
      <c r="P15" s="7">
        <v>-131.52000000000001</v>
      </c>
    </row>
    <row r="16" spans="1:16">
      <c r="A16">
        <v>1954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>
        <v>0</v>
      </c>
      <c r="M16">
        <v>1</v>
      </c>
      <c r="N16" t="s">
        <v>26</v>
      </c>
      <c r="O16" s="8">
        <v>52.405999999999999</v>
      </c>
      <c r="P16" s="7">
        <v>-131.52000000000001</v>
      </c>
    </row>
    <row r="17" spans="1:16">
      <c r="A17">
        <v>1955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>
        <v>0</v>
      </c>
      <c r="M17">
        <v>1</v>
      </c>
      <c r="N17" t="s">
        <v>26</v>
      </c>
      <c r="O17" s="8">
        <v>52.405999999999999</v>
      </c>
      <c r="P17" s="7">
        <v>-131.52000000000001</v>
      </c>
    </row>
    <row r="18" spans="1:16">
      <c r="A18">
        <v>1956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>
        <v>0</v>
      </c>
      <c r="M18">
        <v>1</v>
      </c>
      <c r="N18" t="s">
        <v>26</v>
      </c>
      <c r="O18" s="8">
        <v>52.405999999999999</v>
      </c>
      <c r="P18" s="7">
        <v>-131.52000000000001</v>
      </c>
    </row>
    <row r="19" spans="1:16">
      <c r="A19">
        <v>1957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>
        <v>0</v>
      </c>
      <c r="M19">
        <v>1</v>
      </c>
      <c r="N19" t="s">
        <v>26</v>
      </c>
      <c r="O19" s="8">
        <v>52.405999999999999</v>
      </c>
      <c r="P19" s="7">
        <v>-131.52000000000001</v>
      </c>
    </row>
    <row r="20" spans="1:16">
      <c r="A20">
        <v>1958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>
        <v>0</v>
      </c>
      <c r="M20">
        <v>1</v>
      </c>
      <c r="N20" t="s">
        <v>26</v>
      </c>
      <c r="O20" s="8">
        <v>52.405999999999999</v>
      </c>
      <c r="P20" s="7">
        <v>-131.52000000000001</v>
      </c>
    </row>
    <row r="21" spans="1:16">
      <c r="A21">
        <v>1959</v>
      </c>
      <c r="B21">
        <v>1</v>
      </c>
      <c r="C21">
        <v>41799</v>
      </c>
      <c r="D21">
        <v>5850</v>
      </c>
      <c r="E21">
        <v>9</v>
      </c>
      <c r="F21">
        <v>2.15</v>
      </c>
      <c r="G21">
        <v>8.6999999999999993</v>
      </c>
      <c r="H21">
        <v>100</v>
      </c>
      <c r="I21">
        <v>100</v>
      </c>
      <c r="J21">
        <v>100</v>
      </c>
      <c r="K21">
        <v>100</v>
      </c>
      <c r="L21">
        <v>0</v>
      </c>
      <c r="M21">
        <v>1</v>
      </c>
      <c r="N21" t="s">
        <v>26</v>
      </c>
      <c r="O21" s="8">
        <v>52.405999999999999</v>
      </c>
      <c r="P21" s="7">
        <v>-131.52000000000001</v>
      </c>
    </row>
    <row r="22" spans="1:16">
      <c r="A22">
        <v>1960</v>
      </c>
      <c r="B22">
        <v>1</v>
      </c>
      <c r="C22">
        <v>1958</v>
      </c>
      <c r="D22">
        <v>274</v>
      </c>
      <c r="E22">
        <v>9</v>
      </c>
      <c r="F22">
        <v>2.96</v>
      </c>
      <c r="G22">
        <v>6.9</v>
      </c>
      <c r="H22">
        <v>97</v>
      </c>
      <c r="I22">
        <v>97</v>
      </c>
      <c r="J22">
        <v>97</v>
      </c>
      <c r="K22">
        <v>97</v>
      </c>
      <c r="L22">
        <v>0</v>
      </c>
      <c r="M22">
        <v>1</v>
      </c>
      <c r="N22" t="s">
        <v>26</v>
      </c>
      <c r="O22" s="8">
        <v>52.405999999999999</v>
      </c>
      <c r="P22" s="7">
        <v>-131.52000000000001</v>
      </c>
    </row>
    <row r="23" spans="1:16">
      <c r="A23">
        <v>1961</v>
      </c>
      <c r="B23">
        <v>1</v>
      </c>
      <c r="C23">
        <v>35755</v>
      </c>
      <c r="D23">
        <v>5004</v>
      </c>
      <c r="E23">
        <v>5</v>
      </c>
      <c r="F23">
        <v>1.34</v>
      </c>
      <c r="G23">
        <v>7.8</v>
      </c>
      <c r="H23">
        <v>87</v>
      </c>
      <c r="I23">
        <v>87</v>
      </c>
      <c r="J23">
        <v>87</v>
      </c>
      <c r="K23">
        <v>87</v>
      </c>
      <c r="L23">
        <v>0</v>
      </c>
      <c r="M23">
        <v>1</v>
      </c>
      <c r="N23" t="s">
        <v>26</v>
      </c>
      <c r="O23" s="8">
        <v>52.405999999999999</v>
      </c>
      <c r="P23" s="7">
        <v>-131.52000000000001</v>
      </c>
    </row>
    <row r="24" spans="1:16">
      <c r="A24">
        <v>1962</v>
      </c>
      <c r="B24">
        <v>1</v>
      </c>
      <c r="C24">
        <v>7838</v>
      </c>
      <c r="D24">
        <v>1097</v>
      </c>
      <c r="E24">
        <v>18</v>
      </c>
      <c r="F24">
        <v>2.96</v>
      </c>
      <c r="G24">
        <v>6.3</v>
      </c>
      <c r="H24">
        <v>86</v>
      </c>
      <c r="I24">
        <v>86</v>
      </c>
      <c r="J24">
        <v>86</v>
      </c>
      <c r="K24">
        <v>86</v>
      </c>
      <c r="L24">
        <v>0</v>
      </c>
      <c r="M24">
        <v>1</v>
      </c>
      <c r="N24" t="s">
        <v>26</v>
      </c>
      <c r="O24" s="8">
        <v>52.405999999999999</v>
      </c>
      <c r="P24" s="7">
        <v>-131.52000000000001</v>
      </c>
    </row>
    <row r="25" spans="1:16">
      <c r="A25">
        <v>1963</v>
      </c>
      <c r="B25">
        <v>0</v>
      </c>
      <c r="C25">
        <v>0</v>
      </c>
      <c r="D25">
        <v>0</v>
      </c>
      <c r="E25">
        <v>0</v>
      </c>
      <c r="F25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>
        <v>0</v>
      </c>
      <c r="M25">
        <v>1</v>
      </c>
      <c r="N25" t="s">
        <v>26</v>
      </c>
      <c r="O25" s="8">
        <v>52.405999999999999</v>
      </c>
      <c r="P25" s="7">
        <v>-131.52000000000001</v>
      </c>
    </row>
    <row r="26" spans="1:16">
      <c r="A26">
        <v>1964</v>
      </c>
      <c r="B26">
        <v>1</v>
      </c>
      <c r="C26">
        <v>3594</v>
      </c>
      <c r="D26">
        <v>503</v>
      </c>
      <c r="E26">
        <v>9</v>
      </c>
      <c r="F26">
        <v>1.34</v>
      </c>
      <c r="G26">
        <v>7.1</v>
      </c>
      <c r="H26">
        <v>84</v>
      </c>
      <c r="I26">
        <v>84</v>
      </c>
      <c r="J26">
        <v>84</v>
      </c>
      <c r="K26">
        <v>84</v>
      </c>
      <c r="L26">
        <v>0</v>
      </c>
      <c r="M26">
        <v>1</v>
      </c>
      <c r="N26" t="s">
        <v>26</v>
      </c>
      <c r="O26" s="8">
        <v>52.405999999999999</v>
      </c>
      <c r="P26" s="7">
        <v>-131.52000000000001</v>
      </c>
    </row>
    <row r="27" spans="1:16">
      <c r="A27">
        <v>1965</v>
      </c>
      <c r="B27">
        <v>0</v>
      </c>
      <c r="C27">
        <v>0</v>
      </c>
      <c r="D27">
        <v>0</v>
      </c>
      <c r="E27">
        <v>0</v>
      </c>
      <c r="F27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>
        <v>0</v>
      </c>
      <c r="M27">
        <v>1</v>
      </c>
      <c r="N27" t="s">
        <v>26</v>
      </c>
      <c r="O27" s="8">
        <v>52.405999999999999</v>
      </c>
      <c r="P27" s="7">
        <v>-131.52000000000001</v>
      </c>
    </row>
    <row r="28" spans="1:16">
      <c r="A28">
        <v>1966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>
        <v>0</v>
      </c>
      <c r="M28">
        <v>1</v>
      </c>
      <c r="N28" t="s">
        <v>26</v>
      </c>
      <c r="O28" s="8">
        <v>52.405999999999999</v>
      </c>
      <c r="P28" s="7">
        <v>-131.52000000000001</v>
      </c>
    </row>
    <row r="29" spans="1:16">
      <c r="A29">
        <v>1967</v>
      </c>
      <c r="B29">
        <v>2</v>
      </c>
      <c r="C29">
        <v>2286</v>
      </c>
      <c r="D29">
        <v>320</v>
      </c>
      <c r="E29">
        <v>4</v>
      </c>
      <c r="F29">
        <v>2.15</v>
      </c>
      <c r="G29">
        <v>7.1</v>
      </c>
      <c r="H29">
        <v>96</v>
      </c>
      <c r="I29">
        <v>96</v>
      </c>
      <c r="J29">
        <v>96</v>
      </c>
      <c r="K29">
        <v>96</v>
      </c>
      <c r="L29">
        <v>0</v>
      </c>
      <c r="M29">
        <v>1</v>
      </c>
      <c r="N29" t="s">
        <v>26</v>
      </c>
      <c r="O29" s="8">
        <v>52.405999999999999</v>
      </c>
      <c r="P29" s="7">
        <v>-131.52000000000001</v>
      </c>
    </row>
    <row r="30" spans="1:16">
      <c r="A30">
        <v>1968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>
        <v>0</v>
      </c>
      <c r="M30">
        <v>1</v>
      </c>
      <c r="N30" t="s">
        <v>26</v>
      </c>
      <c r="O30" s="8">
        <v>52.405999999999999</v>
      </c>
      <c r="P30" s="7">
        <v>-131.52000000000001</v>
      </c>
    </row>
    <row r="31" spans="1:16">
      <c r="A31">
        <v>1969</v>
      </c>
      <c r="B31">
        <v>1</v>
      </c>
      <c r="C31">
        <v>979</v>
      </c>
      <c r="D31">
        <v>137</v>
      </c>
      <c r="E31">
        <v>5</v>
      </c>
      <c r="F31">
        <v>0.55000000000000004</v>
      </c>
      <c r="G31">
        <v>7</v>
      </c>
      <c r="H31">
        <v>102</v>
      </c>
      <c r="I31">
        <v>101.9</v>
      </c>
      <c r="J31">
        <v>102</v>
      </c>
      <c r="K31">
        <v>102</v>
      </c>
      <c r="L31">
        <v>0</v>
      </c>
      <c r="M31">
        <v>1</v>
      </c>
      <c r="N31" t="s">
        <v>26</v>
      </c>
      <c r="O31" s="8">
        <v>52.405999999999999</v>
      </c>
      <c r="P31" s="7">
        <v>-131.52000000000001</v>
      </c>
    </row>
    <row r="32" spans="1:16">
      <c r="A32">
        <v>1970</v>
      </c>
      <c r="B32">
        <v>0</v>
      </c>
      <c r="C32">
        <v>0</v>
      </c>
      <c r="D32">
        <v>0</v>
      </c>
      <c r="E32">
        <v>0</v>
      </c>
      <c r="F32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>
        <v>0</v>
      </c>
      <c r="M32">
        <v>1</v>
      </c>
      <c r="N32" t="s">
        <v>26</v>
      </c>
      <c r="O32" s="8">
        <v>52.405999999999999</v>
      </c>
      <c r="P32" s="7">
        <v>-131.52000000000001</v>
      </c>
    </row>
    <row r="33" spans="1:16">
      <c r="A33">
        <v>1971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>
        <v>0</v>
      </c>
      <c r="M33">
        <v>1</v>
      </c>
      <c r="N33" t="s">
        <v>26</v>
      </c>
      <c r="O33" s="8">
        <v>52.405999999999999</v>
      </c>
      <c r="P33" s="7">
        <v>-131.52000000000001</v>
      </c>
    </row>
    <row r="34" spans="1:16">
      <c r="A34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>
        <v>0</v>
      </c>
      <c r="M34">
        <v>1</v>
      </c>
      <c r="N34" t="s">
        <v>26</v>
      </c>
      <c r="O34" s="8">
        <v>52.405999999999999</v>
      </c>
      <c r="P34" s="7">
        <v>-131.52000000000001</v>
      </c>
    </row>
    <row r="35" spans="1:16">
      <c r="A35">
        <v>1973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>
        <v>0</v>
      </c>
      <c r="M35">
        <v>1</v>
      </c>
      <c r="N35" t="s">
        <v>26</v>
      </c>
      <c r="O35" s="8">
        <v>52.405999999999999</v>
      </c>
      <c r="P35" s="7">
        <v>-131.52000000000001</v>
      </c>
    </row>
    <row r="36" spans="1:16">
      <c r="A36">
        <v>1974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0</v>
      </c>
      <c r="M36">
        <v>1</v>
      </c>
      <c r="N36" t="s">
        <v>26</v>
      </c>
      <c r="O36" s="8">
        <v>52.405999999999999</v>
      </c>
      <c r="P36" s="7">
        <v>-131.52000000000001</v>
      </c>
    </row>
    <row r="37" spans="1:16">
      <c r="A37">
        <v>1975</v>
      </c>
      <c r="B37">
        <v>0</v>
      </c>
      <c r="C37">
        <v>0</v>
      </c>
      <c r="D37">
        <v>0</v>
      </c>
      <c r="E37">
        <v>0</v>
      </c>
      <c r="F37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>
        <v>0</v>
      </c>
      <c r="M37">
        <v>1</v>
      </c>
      <c r="N37" t="s">
        <v>26</v>
      </c>
      <c r="O37" s="8">
        <v>52.405999999999999</v>
      </c>
      <c r="P37" s="7">
        <v>-131.52000000000001</v>
      </c>
    </row>
    <row r="38" spans="1:16">
      <c r="A38">
        <v>1976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>
        <v>0</v>
      </c>
      <c r="M38">
        <v>1</v>
      </c>
      <c r="N38" t="s">
        <v>26</v>
      </c>
      <c r="O38" s="8">
        <v>52.405999999999999</v>
      </c>
      <c r="P38" s="7">
        <v>-131.52000000000001</v>
      </c>
    </row>
    <row r="39" spans="1:16">
      <c r="A39">
        <v>1977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>
        <v>0</v>
      </c>
      <c r="M39">
        <v>1</v>
      </c>
      <c r="N39" t="s">
        <v>26</v>
      </c>
      <c r="O39" s="8">
        <v>52.405999999999999</v>
      </c>
      <c r="P39" s="7">
        <v>-131.52000000000001</v>
      </c>
    </row>
    <row r="40" spans="1:16">
      <c r="A40">
        <v>1978</v>
      </c>
      <c r="B40">
        <v>1</v>
      </c>
      <c r="C40">
        <v>14369</v>
      </c>
      <c r="D40">
        <v>2011</v>
      </c>
      <c r="E40">
        <v>5</v>
      </c>
      <c r="F40">
        <v>4</v>
      </c>
      <c r="G40">
        <v>8.6</v>
      </c>
      <c r="H40">
        <v>104</v>
      </c>
      <c r="I40">
        <v>104</v>
      </c>
      <c r="J40">
        <v>104</v>
      </c>
      <c r="K40">
        <v>104</v>
      </c>
      <c r="L40">
        <v>0</v>
      </c>
      <c r="M40">
        <v>1</v>
      </c>
      <c r="N40" t="s">
        <v>26</v>
      </c>
      <c r="O40" s="8">
        <v>52.405999999999999</v>
      </c>
      <c r="P40" s="7">
        <v>-131.52000000000001</v>
      </c>
    </row>
    <row r="41" spans="1:16">
      <c r="A41">
        <v>1979</v>
      </c>
      <c r="B41">
        <v>14</v>
      </c>
      <c r="C41">
        <v>31046</v>
      </c>
      <c r="D41">
        <v>4345</v>
      </c>
      <c r="E41">
        <v>12</v>
      </c>
      <c r="F41">
        <v>1.88</v>
      </c>
      <c r="G41">
        <v>7.3</v>
      </c>
      <c r="H41">
        <v>105.6</v>
      </c>
      <c r="I41">
        <v>104.2</v>
      </c>
      <c r="J41">
        <v>102</v>
      </c>
      <c r="K41">
        <v>112</v>
      </c>
      <c r="L41">
        <v>0</v>
      </c>
      <c r="M41">
        <v>1</v>
      </c>
      <c r="N41" t="s">
        <v>26</v>
      </c>
      <c r="O41" s="8">
        <v>52.405999999999999</v>
      </c>
      <c r="P41" s="7">
        <v>-131.52000000000001</v>
      </c>
    </row>
    <row r="42" spans="1:16">
      <c r="A42">
        <v>1980</v>
      </c>
      <c r="B42">
        <v>6</v>
      </c>
      <c r="C42">
        <v>30867</v>
      </c>
      <c r="D42">
        <v>4320</v>
      </c>
      <c r="E42">
        <v>5</v>
      </c>
      <c r="F42">
        <v>1.08</v>
      </c>
      <c r="G42">
        <v>7.8</v>
      </c>
      <c r="H42">
        <v>101</v>
      </c>
      <c r="I42">
        <v>101</v>
      </c>
      <c r="J42">
        <v>101</v>
      </c>
      <c r="K42">
        <v>101</v>
      </c>
      <c r="L42">
        <v>0</v>
      </c>
      <c r="M42">
        <v>1</v>
      </c>
      <c r="N42" t="s">
        <v>26</v>
      </c>
      <c r="O42" s="8">
        <v>52.405999999999999</v>
      </c>
      <c r="P42" s="7">
        <v>-131.52000000000001</v>
      </c>
    </row>
    <row r="43" spans="1:16">
      <c r="A43">
        <v>1981</v>
      </c>
      <c r="B43">
        <v>21</v>
      </c>
      <c r="C43">
        <v>38012</v>
      </c>
      <c r="D43">
        <v>7152</v>
      </c>
      <c r="E43">
        <v>7</v>
      </c>
      <c r="F43">
        <v>0.38</v>
      </c>
      <c r="G43">
        <v>8.5</v>
      </c>
      <c r="H43">
        <v>84.3</v>
      </c>
      <c r="I43">
        <v>86.6</v>
      </c>
      <c r="J43">
        <v>77</v>
      </c>
      <c r="K43">
        <v>91</v>
      </c>
      <c r="L43">
        <v>0</v>
      </c>
      <c r="M43">
        <v>1</v>
      </c>
      <c r="N43" t="s">
        <v>26</v>
      </c>
      <c r="O43" s="8">
        <v>52.405999999999999</v>
      </c>
      <c r="P43" s="7">
        <v>-131.52000000000001</v>
      </c>
    </row>
    <row r="44" spans="1:16">
      <c r="A44">
        <v>1982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>
        <v>0</v>
      </c>
      <c r="M44">
        <v>1</v>
      </c>
      <c r="N44" t="s">
        <v>26</v>
      </c>
      <c r="O44" s="8">
        <v>52.405999999999999</v>
      </c>
      <c r="P44" s="7">
        <v>-131.52000000000001</v>
      </c>
    </row>
    <row r="45" spans="1:16">
      <c r="A45">
        <v>1983</v>
      </c>
      <c r="B45">
        <v>2</v>
      </c>
      <c r="C45">
        <v>7145</v>
      </c>
      <c r="D45">
        <v>1000</v>
      </c>
      <c r="E45">
        <v>21</v>
      </c>
      <c r="F45">
        <v>1.5</v>
      </c>
      <c r="G45">
        <v>8.9</v>
      </c>
      <c r="H45">
        <v>91</v>
      </c>
      <c r="I45">
        <v>91</v>
      </c>
      <c r="J45">
        <v>91</v>
      </c>
      <c r="K45">
        <v>91</v>
      </c>
      <c r="L45">
        <v>0</v>
      </c>
      <c r="M45">
        <v>1</v>
      </c>
      <c r="N45" t="s">
        <v>26</v>
      </c>
      <c r="O45" s="8">
        <v>52.405999999999999</v>
      </c>
      <c r="P45" s="7">
        <v>-131.52000000000001</v>
      </c>
    </row>
    <row r="46" spans="1:16">
      <c r="A46">
        <v>1984</v>
      </c>
      <c r="B46">
        <v>2</v>
      </c>
      <c r="C46">
        <v>12576</v>
      </c>
      <c r="D46">
        <v>1760</v>
      </c>
      <c r="E46">
        <v>8</v>
      </c>
      <c r="F46">
        <v>3</v>
      </c>
      <c r="G46">
        <v>8.6</v>
      </c>
      <c r="H46">
        <v>98</v>
      </c>
      <c r="I46">
        <v>98</v>
      </c>
      <c r="J46">
        <v>98</v>
      </c>
      <c r="K46">
        <v>98</v>
      </c>
      <c r="L46">
        <v>0</v>
      </c>
      <c r="M46">
        <v>1</v>
      </c>
      <c r="N46" t="s">
        <v>26</v>
      </c>
      <c r="O46" s="8">
        <v>52.405999999999999</v>
      </c>
      <c r="P46" s="7">
        <v>-131.52000000000001</v>
      </c>
    </row>
    <row r="47" spans="1:16">
      <c r="A47">
        <v>1985</v>
      </c>
      <c r="B47">
        <v>0</v>
      </c>
      <c r="C47">
        <v>0</v>
      </c>
      <c r="D47">
        <v>0</v>
      </c>
      <c r="E47">
        <v>0</v>
      </c>
      <c r="F47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>
        <v>0</v>
      </c>
      <c r="M47">
        <v>1</v>
      </c>
      <c r="N47" t="s">
        <v>26</v>
      </c>
      <c r="O47" s="8">
        <v>52.405999999999999</v>
      </c>
      <c r="P47" s="7">
        <v>-131.52000000000001</v>
      </c>
    </row>
    <row r="48" spans="1:16">
      <c r="A48">
        <v>1986</v>
      </c>
      <c r="B48">
        <v>0</v>
      </c>
      <c r="C48">
        <v>0</v>
      </c>
      <c r="D48">
        <v>0</v>
      </c>
      <c r="E48">
        <v>0</v>
      </c>
      <c r="F48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>
        <v>0</v>
      </c>
      <c r="M48">
        <v>1</v>
      </c>
      <c r="N48" t="s">
        <v>26</v>
      </c>
      <c r="O48" s="8">
        <v>52.405999999999999</v>
      </c>
      <c r="P48" s="7">
        <v>-131.52000000000001</v>
      </c>
    </row>
    <row r="49" spans="1:16">
      <c r="A49">
        <v>1987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>
        <v>0</v>
      </c>
      <c r="M49">
        <v>1</v>
      </c>
      <c r="N49" t="s">
        <v>26</v>
      </c>
      <c r="O49" s="8">
        <v>52.405999999999999</v>
      </c>
      <c r="P49" s="7">
        <v>-131.52000000000001</v>
      </c>
    </row>
    <row r="50" spans="1:16">
      <c r="A50">
        <v>1988</v>
      </c>
      <c r="B50">
        <v>6</v>
      </c>
      <c r="C50">
        <v>23579</v>
      </c>
      <c r="D50">
        <v>3300</v>
      </c>
      <c r="E50">
        <v>8</v>
      </c>
      <c r="F50">
        <v>1</v>
      </c>
      <c r="G50">
        <v>8</v>
      </c>
      <c r="H50">
        <v>109</v>
      </c>
      <c r="I50">
        <v>109</v>
      </c>
      <c r="J50">
        <v>109</v>
      </c>
      <c r="K50">
        <v>109</v>
      </c>
      <c r="L50">
        <v>0</v>
      </c>
      <c r="M50">
        <v>1</v>
      </c>
      <c r="N50" t="s">
        <v>26</v>
      </c>
      <c r="O50" s="8">
        <v>52.405999999999999</v>
      </c>
      <c r="P50" s="7">
        <v>-131.52000000000001</v>
      </c>
    </row>
    <row r="51" spans="1:16">
      <c r="A51">
        <v>1989</v>
      </c>
      <c r="B51">
        <v>0</v>
      </c>
      <c r="C51">
        <v>0</v>
      </c>
      <c r="D51">
        <v>0</v>
      </c>
      <c r="E51">
        <v>0</v>
      </c>
      <c r="F51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>
        <v>0</v>
      </c>
      <c r="M51">
        <v>1</v>
      </c>
      <c r="N51" t="s">
        <v>26</v>
      </c>
      <c r="O51" s="8">
        <v>52.405999999999999</v>
      </c>
      <c r="P51" s="7">
        <v>-131.52000000000001</v>
      </c>
    </row>
    <row r="52" spans="1:16">
      <c r="A52">
        <v>1990</v>
      </c>
      <c r="B52">
        <v>0</v>
      </c>
      <c r="C52">
        <v>0</v>
      </c>
      <c r="D52">
        <v>0</v>
      </c>
      <c r="E52">
        <v>0</v>
      </c>
      <c r="F52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>
        <v>0</v>
      </c>
      <c r="M52">
        <v>1</v>
      </c>
      <c r="N52" t="s">
        <v>26</v>
      </c>
      <c r="O52" s="8">
        <v>52.405999999999999</v>
      </c>
      <c r="P52" s="7">
        <v>-131.52000000000001</v>
      </c>
    </row>
    <row r="53" spans="1:16">
      <c r="A53">
        <v>1991</v>
      </c>
      <c r="B53">
        <v>0</v>
      </c>
      <c r="C53">
        <v>0</v>
      </c>
      <c r="D53">
        <v>0</v>
      </c>
      <c r="E53">
        <v>0</v>
      </c>
      <c r="F53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>
        <v>0</v>
      </c>
      <c r="M53">
        <v>1</v>
      </c>
      <c r="N53" t="s">
        <v>26</v>
      </c>
      <c r="O53" s="8">
        <v>52.405999999999999</v>
      </c>
      <c r="P53" s="7">
        <v>-131.52000000000001</v>
      </c>
    </row>
    <row r="54" spans="1:16">
      <c r="A54">
        <v>1992</v>
      </c>
      <c r="B54">
        <v>1</v>
      </c>
      <c r="C54">
        <v>6431</v>
      </c>
      <c r="D54">
        <v>900</v>
      </c>
      <c r="E54">
        <v>14</v>
      </c>
      <c r="F54">
        <v>1.59</v>
      </c>
      <c r="G54">
        <v>9.3000000000000007</v>
      </c>
      <c r="H54">
        <v>103</v>
      </c>
      <c r="I54">
        <v>103</v>
      </c>
      <c r="J54">
        <v>103</v>
      </c>
      <c r="K54">
        <v>103</v>
      </c>
      <c r="L54">
        <v>100</v>
      </c>
      <c r="M54">
        <v>1</v>
      </c>
      <c r="N54" t="s">
        <v>26</v>
      </c>
      <c r="O54" s="8">
        <v>52.405999999999999</v>
      </c>
      <c r="P54" s="7">
        <v>-131.52000000000001</v>
      </c>
    </row>
    <row r="55" spans="1:16">
      <c r="A55">
        <v>1993</v>
      </c>
      <c r="B55">
        <v>2</v>
      </c>
      <c r="C55">
        <v>14290</v>
      </c>
      <c r="D55">
        <v>2000</v>
      </c>
      <c r="E55">
        <v>5</v>
      </c>
      <c r="F55">
        <v>1</v>
      </c>
      <c r="G55">
        <v>7.3</v>
      </c>
      <c r="H55">
        <v>92</v>
      </c>
      <c r="I55">
        <v>92</v>
      </c>
      <c r="J55">
        <v>92</v>
      </c>
      <c r="K55">
        <v>92</v>
      </c>
      <c r="L55">
        <v>100</v>
      </c>
      <c r="M55">
        <v>1</v>
      </c>
      <c r="N55" t="s">
        <v>26</v>
      </c>
      <c r="O55" s="8">
        <v>52.405999999999999</v>
      </c>
      <c r="P55" s="7">
        <v>-131.52000000000001</v>
      </c>
    </row>
    <row r="56" spans="1:16">
      <c r="A56">
        <v>1994</v>
      </c>
      <c r="B56">
        <v>0</v>
      </c>
      <c r="C56">
        <v>0</v>
      </c>
      <c r="D56">
        <v>0</v>
      </c>
      <c r="E56">
        <v>0</v>
      </c>
      <c r="F56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>
        <v>0</v>
      </c>
      <c r="M56">
        <v>1</v>
      </c>
      <c r="N56" t="s">
        <v>26</v>
      </c>
      <c r="O56" s="8">
        <v>52.405999999999999</v>
      </c>
      <c r="P56" s="7">
        <v>-131.52000000000001</v>
      </c>
    </row>
    <row r="57" spans="1:16">
      <c r="A57">
        <v>1995</v>
      </c>
      <c r="B57">
        <v>0</v>
      </c>
      <c r="C57">
        <v>0</v>
      </c>
      <c r="D57">
        <v>0</v>
      </c>
      <c r="E57">
        <v>0</v>
      </c>
      <c r="F57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>
        <v>0</v>
      </c>
      <c r="M57">
        <v>1</v>
      </c>
      <c r="N57" t="s">
        <v>26</v>
      </c>
      <c r="O57" s="8">
        <v>52.405999999999999</v>
      </c>
      <c r="P57" s="7">
        <v>-131.52000000000001</v>
      </c>
    </row>
    <row r="58" spans="1:16">
      <c r="A58">
        <v>1996</v>
      </c>
      <c r="B58">
        <v>0</v>
      </c>
      <c r="C58">
        <v>0</v>
      </c>
      <c r="D58">
        <v>0</v>
      </c>
      <c r="E58">
        <v>0</v>
      </c>
      <c r="F58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>
        <v>0</v>
      </c>
      <c r="M58">
        <v>1</v>
      </c>
      <c r="N58" t="s">
        <v>26</v>
      </c>
      <c r="O58" s="8">
        <v>52.405999999999999</v>
      </c>
      <c r="P58" s="7">
        <v>-131.52000000000001</v>
      </c>
    </row>
    <row r="59" spans="1:16">
      <c r="A59">
        <v>1997</v>
      </c>
      <c r="B59">
        <v>0</v>
      </c>
      <c r="C59">
        <v>0</v>
      </c>
      <c r="D59">
        <v>0</v>
      </c>
      <c r="E59">
        <v>0</v>
      </c>
      <c r="F59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>
        <v>0</v>
      </c>
      <c r="M59">
        <v>1</v>
      </c>
      <c r="N59" t="s">
        <v>26</v>
      </c>
      <c r="O59" s="8">
        <v>52.405999999999999</v>
      </c>
      <c r="P59" s="7">
        <v>-131.52000000000001</v>
      </c>
    </row>
    <row r="60" spans="1:16">
      <c r="A60">
        <v>1998</v>
      </c>
      <c r="B60">
        <v>0</v>
      </c>
      <c r="C60">
        <v>0</v>
      </c>
      <c r="D60">
        <v>0</v>
      </c>
      <c r="E60">
        <v>0</v>
      </c>
      <c r="F60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>
        <v>0</v>
      </c>
      <c r="M60">
        <v>1</v>
      </c>
      <c r="N60" t="s">
        <v>26</v>
      </c>
      <c r="O60" s="8">
        <v>52.405999999999999</v>
      </c>
      <c r="P60" s="7">
        <v>-131.52000000000001</v>
      </c>
    </row>
    <row r="61" spans="1:16">
      <c r="A61">
        <v>1999</v>
      </c>
      <c r="B61">
        <v>0</v>
      </c>
      <c r="C61">
        <v>0</v>
      </c>
      <c r="D61">
        <v>0</v>
      </c>
      <c r="E61">
        <v>0</v>
      </c>
      <c r="F61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>
        <v>0</v>
      </c>
      <c r="M61">
        <v>1</v>
      </c>
      <c r="N61" t="s">
        <v>26</v>
      </c>
      <c r="O61" s="8">
        <v>52.405999999999999</v>
      </c>
      <c r="P61" s="7">
        <v>-131.52000000000001</v>
      </c>
    </row>
    <row r="62" spans="1:16">
      <c r="A62">
        <v>2000</v>
      </c>
      <c r="B62">
        <v>0</v>
      </c>
      <c r="C62">
        <v>0</v>
      </c>
      <c r="D62">
        <v>0</v>
      </c>
      <c r="E62">
        <v>0</v>
      </c>
      <c r="F62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>
        <v>0</v>
      </c>
      <c r="M62">
        <v>1</v>
      </c>
      <c r="N62" t="s">
        <v>26</v>
      </c>
      <c r="O62" s="8">
        <v>52.405999999999999</v>
      </c>
      <c r="P62" s="7">
        <v>-131.52000000000001</v>
      </c>
    </row>
    <row r="63" spans="1:16">
      <c r="A63">
        <v>2001</v>
      </c>
      <c r="B63">
        <v>0</v>
      </c>
      <c r="C63">
        <v>0</v>
      </c>
      <c r="D63">
        <v>0</v>
      </c>
      <c r="E63">
        <v>0</v>
      </c>
      <c r="F63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>
        <v>0</v>
      </c>
      <c r="M63">
        <v>1</v>
      </c>
      <c r="N63" t="s">
        <v>26</v>
      </c>
      <c r="O63" s="8">
        <v>52.405999999999999</v>
      </c>
      <c r="P63" s="7">
        <v>-131.52000000000001</v>
      </c>
    </row>
    <row r="64" spans="1:16">
      <c r="A64">
        <v>2002</v>
      </c>
      <c r="B64">
        <v>0</v>
      </c>
      <c r="C64">
        <v>0</v>
      </c>
      <c r="D64">
        <v>0</v>
      </c>
      <c r="E64">
        <v>0</v>
      </c>
      <c r="F64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>
        <v>0</v>
      </c>
      <c r="M64">
        <v>1</v>
      </c>
      <c r="N64" t="s">
        <v>26</v>
      </c>
      <c r="O64" s="8">
        <v>52.405999999999999</v>
      </c>
      <c r="P64" s="7">
        <v>-131.52000000000001</v>
      </c>
    </row>
    <row r="65" spans="1:16">
      <c r="A65">
        <v>2003</v>
      </c>
      <c r="B65">
        <v>0</v>
      </c>
      <c r="C65">
        <v>0</v>
      </c>
      <c r="D65">
        <v>0</v>
      </c>
      <c r="E65">
        <v>0</v>
      </c>
      <c r="F65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>
        <v>0</v>
      </c>
      <c r="M65">
        <v>1</v>
      </c>
      <c r="N65" t="s">
        <v>26</v>
      </c>
      <c r="O65" s="8">
        <v>52.405999999999999</v>
      </c>
      <c r="P65" s="7">
        <v>-131.52000000000001</v>
      </c>
    </row>
    <row r="66" spans="1:16">
      <c r="A66">
        <v>2004</v>
      </c>
      <c r="B66">
        <v>0</v>
      </c>
      <c r="C66">
        <v>0</v>
      </c>
      <c r="D66">
        <v>0</v>
      </c>
      <c r="E66">
        <v>0</v>
      </c>
      <c r="F66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>
        <v>0</v>
      </c>
      <c r="M66">
        <v>1</v>
      </c>
      <c r="N66" t="s">
        <v>26</v>
      </c>
      <c r="O66" s="8">
        <v>52.405999999999999</v>
      </c>
      <c r="P66" s="7">
        <v>-131.52000000000001</v>
      </c>
    </row>
    <row r="67" spans="1:16">
      <c r="A67">
        <v>2005</v>
      </c>
      <c r="B67">
        <v>0</v>
      </c>
      <c r="C67">
        <v>0</v>
      </c>
      <c r="D67">
        <v>0</v>
      </c>
      <c r="E67">
        <v>0</v>
      </c>
      <c r="F67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>
        <v>0</v>
      </c>
      <c r="M67">
        <v>1</v>
      </c>
      <c r="N67" t="s">
        <v>26</v>
      </c>
      <c r="O67" s="8">
        <v>52.405999999999999</v>
      </c>
      <c r="P67" s="7">
        <v>-131.52000000000001</v>
      </c>
    </row>
    <row r="68" spans="1:16">
      <c r="A68">
        <v>2006</v>
      </c>
      <c r="B68">
        <v>0</v>
      </c>
      <c r="C68">
        <v>0</v>
      </c>
      <c r="D68">
        <v>0</v>
      </c>
      <c r="E68">
        <v>0</v>
      </c>
      <c r="F68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>
        <v>0</v>
      </c>
      <c r="M68">
        <v>1</v>
      </c>
      <c r="N68" t="s">
        <v>26</v>
      </c>
      <c r="O68" s="8">
        <v>52.405999999999999</v>
      </c>
      <c r="P68" s="7">
        <v>-131.52000000000001</v>
      </c>
    </row>
    <row r="69" spans="1:16">
      <c r="A69">
        <v>2007</v>
      </c>
      <c r="B69">
        <v>0</v>
      </c>
      <c r="C69">
        <v>0</v>
      </c>
      <c r="D69">
        <v>0</v>
      </c>
      <c r="E69">
        <v>0</v>
      </c>
      <c r="F69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>
        <v>0</v>
      </c>
      <c r="M69">
        <v>1</v>
      </c>
      <c r="N69" t="s">
        <v>26</v>
      </c>
      <c r="O69" s="8">
        <v>52.405999999999999</v>
      </c>
      <c r="P69" s="7">
        <v>-131.52000000000001</v>
      </c>
    </row>
    <row r="70" spans="1:16">
      <c r="A70">
        <v>2008</v>
      </c>
      <c r="B70">
        <v>0</v>
      </c>
      <c r="C70">
        <v>0</v>
      </c>
      <c r="D70">
        <v>0</v>
      </c>
      <c r="E70">
        <v>0</v>
      </c>
      <c r="F70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>
        <v>0</v>
      </c>
      <c r="M70">
        <v>1</v>
      </c>
      <c r="N70" t="s">
        <v>26</v>
      </c>
      <c r="O70" s="8">
        <v>52.405999999999999</v>
      </c>
      <c r="P70" s="7">
        <v>-131.52000000000001</v>
      </c>
    </row>
    <row r="71" spans="1:16">
      <c r="A71">
        <v>2009</v>
      </c>
      <c r="B71">
        <v>0</v>
      </c>
      <c r="C71">
        <v>0</v>
      </c>
      <c r="D71">
        <v>0</v>
      </c>
      <c r="E71">
        <v>0</v>
      </c>
      <c r="F71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>
        <v>0</v>
      </c>
      <c r="M71">
        <v>1</v>
      </c>
      <c r="N71" t="s">
        <v>26</v>
      </c>
      <c r="O71" s="8">
        <v>52.405999999999999</v>
      </c>
      <c r="P71" s="7">
        <v>-131.52000000000001</v>
      </c>
    </row>
    <row r="72" spans="1:16">
      <c r="A72">
        <v>2010</v>
      </c>
      <c r="B72">
        <v>0</v>
      </c>
      <c r="C72">
        <v>0</v>
      </c>
      <c r="D72">
        <v>0</v>
      </c>
      <c r="E72">
        <v>0</v>
      </c>
      <c r="F72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>
        <v>0</v>
      </c>
      <c r="M72">
        <v>1</v>
      </c>
      <c r="N72" t="s">
        <v>26</v>
      </c>
      <c r="O72" s="8">
        <v>52.405999999999999</v>
      </c>
      <c r="P72" s="7">
        <v>-131.52000000000001</v>
      </c>
    </row>
    <row r="73" spans="1:16">
      <c r="A73">
        <v>2011</v>
      </c>
      <c r="B73">
        <v>0</v>
      </c>
      <c r="C73">
        <v>0</v>
      </c>
      <c r="D73">
        <v>0</v>
      </c>
      <c r="E73">
        <v>0</v>
      </c>
      <c r="F73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>
        <v>0</v>
      </c>
      <c r="M73">
        <v>1</v>
      </c>
      <c r="N73" t="s">
        <v>26</v>
      </c>
      <c r="O73" s="8">
        <v>52.405999999999999</v>
      </c>
      <c r="P73" s="7">
        <v>-131.52000000000001</v>
      </c>
    </row>
    <row r="74" spans="1:16">
      <c r="A74">
        <v>2012</v>
      </c>
      <c r="B74">
        <v>0</v>
      </c>
      <c r="C74">
        <v>0</v>
      </c>
      <c r="D74">
        <v>0</v>
      </c>
      <c r="E74">
        <v>0</v>
      </c>
      <c r="F74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>
        <v>0</v>
      </c>
      <c r="M74">
        <v>1</v>
      </c>
      <c r="N74" t="s">
        <v>26</v>
      </c>
      <c r="O74" s="8">
        <v>52.405999999999999</v>
      </c>
      <c r="P74" s="7">
        <v>-131.52000000000001</v>
      </c>
    </row>
    <row r="75" spans="1:16">
      <c r="A75">
        <v>1940</v>
      </c>
      <c r="B75">
        <v>0</v>
      </c>
      <c r="C75">
        <v>0</v>
      </c>
      <c r="D75">
        <v>0</v>
      </c>
      <c r="E75">
        <v>0</v>
      </c>
      <c r="F75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>
        <v>0</v>
      </c>
      <c r="M75">
        <v>2</v>
      </c>
      <c r="N75" t="s">
        <v>20</v>
      </c>
      <c r="O75" s="8">
        <v>53.708399999999997</v>
      </c>
      <c r="P75" s="8">
        <v>-132.959</v>
      </c>
    </row>
    <row r="76" spans="1:16">
      <c r="A76">
        <v>1941</v>
      </c>
      <c r="B76">
        <v>0</v>
      </c>
      <c r="C76">
        <v>0</v>
      </c>
      <c r="D76">
        <v>0</v>
      </c>
      <c r="E76">
        <v>0</v>
      </c>
      <c r="F76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>
        <v>0</v>
      </c>
      <c r="M76">
        <v>2</v>
      </c>
      <c r="N76" t="s">
        <v>20</v>
      </c>
      <c r="O76" s="8">
        <v>53.708399999999997</v>
      </c>
      <c r="P76" s="8">
        <v>-132.959</v>
      </c>
    </row>
    <row r="77" spans="1:16">
      <c r="A77">
        <v>1942</v>
      </c>
      <c r="B77">
        <v>0</v>
      </c>
      <c r="C77">
        <v>0</v>
      </c>
      <c r="D77">
        <v>0</v>
      </c>
      <c r="E77">
        <v>0</v>
      </c>
      <c r="F77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>
        <v>0</v>
      </c>
      <c r="M77">
        <v>2</v>
      </c>
      <c r="N77" t="s">
        <v>20</v>
      </c>
      <c r="O77" s="8">
        <v>53.708399999999997</v>
      </c>
      <c r="P77" s="8">
        <v>-132.959</v>
      </c>
    </row>
    <row r="78" spans="1:16">
      <c r="A78">
        <v>1943</v>
      </c>
      <c r="B78">
        <v>0</v>
      </c>
      <c r="C78">
        <v>0</v>
      </c>
      <c r="D78">
        <v>0</v>
      </c>
      <c r="E78">
        <v>0</v>
      </c>
      <c r="F78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>
        <v>0</v>
      </c>
      <c r="M78">
        <v>2</v>
      </c>
      <c r="N78" t="s">
        <v>20</v>
      </c>
      <c r="O78" s="8">
        <v>53.708399999999997</v>
      </c>
      <c r="P78" s="8">
        <v>-132.959</v>
      </c>
    </row>
    <row r="79" spans="1:16">
      <c r="A79">
        <v>1944</v>
      </c>
      <c r="B79">
        <v>0</v>
      </c>
      <c r="C79">
        <v>0</v>
      </c>
      <c r="D79">
        <v>0</v>
      </c>
      <c r="E79">
        <v>0</v>
      </c>
      <c r="F79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>
        <v>0</v>
      </c>
      <c r="M79">
        <v>2</v>
      </c>
      <c r="N79" t="s">
        <v>20</v>
      </c>
      <c r="O79" s="8">
        <v>53.708399999999997</v>
      </c>
      <c r="P79" s="8">
        <v>-132.959</v>
      </c>
    </row>
    <row r="80" spans="1:16">
      <c r="A80">
        <v>1945</v>
      </c>
      <c r="B80">
        <v>0</v>
      </c>
      <c r="C80">
        <v>0</v>
      </c>
      <c r="D80">
        <v>0</v>
      </c>
      <c r="E80">
        <v>0</v>
      </c>
      <c r="F80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>
        <v>0</v>
      </c>
      <c r="M80">
        <v>2</v>
      </c>
      <c r="N80" t="s">
        <v>20</v>
      </c>
      <c r="O80" s="8">
        <v>53.708399999999997</v>
      </c>
      <c r="P80" s="8">
        <v>-132.959</v>
      </c>
    </row>
    <row r="81" spans="1:16">
      <c r="A81">
        <v>1946</v>
      </c>
      <c r="B81">
        <v>0</v>
      </c>
      <c r="C81">
        <v>0</v>
      </c>
      <c r="D81">
        <v>0</v>
      </c>
      <c r="E81">
        <v>0</v>
      </c>
      <c r="F81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>
        <v>0</v>
      </c>
      <c r="M81">
        <v>2</v>
      </c>
      <c r="N81" t="s">
        <v>20</v>
      </c>
      <c r="O81" s="8">
        <v>53.708399999999997</v>
      </c>
      <c r="P81" s="8">
        <v>-132.959</v>
      </c>
    </row>
    <row r="82" spans="1:16">
      <c r="A82">
        <v>1947</v>
      </c>
      <c r="B82">
        <v>0</v>
      </c>
      <c r="C82">
        <v>0</v>
      </c>
      <c r="D82">
        <v>0</v>
      </c>
      <c r="E82">
        <v>0</v>
      </c>
      <c r="F82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>
        <v>0</v>
      </c>
      <c r="M82">
        <v>2</v>
      </c>
      <c r="N82" t="s">
        <v>20</v>
      </c>
      <c r="O82" s="8">
        <v>53.708399999999997</v>
      </c>
      <c r="P82" s="8">
        <v>-132.959</v>
      </c>
    </row>
    <row r="83" spans="1:16">
      <c r="A83">
        <v>1948</v>
      </c>
      <c r="B83">
        <v>0</v>
      </c>
      <c r="C83">
        <v>0</v>
      </c>
      <c r="D83">
        <v>0</v>
      </c>
      <c r="E83">
        <v>0</v>
      </c>
      <c r="F83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>
        <v>0</v>
      </c>
      <c r="M83">
        <v>2</v>
      </c>
      <c r="N83" t="s">
        <v>20</v>
      </c>
      <c r="O83" s="8">
        <v>53.708399999999997</v>
      </c>
      <c r="P83" s="8">
        <v>-132.959</v>
      </c>
    </row>
    <row r="84" spans="1:16">
      <c r="A84">
        <v>1949</v>
      </c>
      <c r="B84">
        <v>0</v>
      </c>
      <c r="C84">
        <v>0</v>
      </c>
      <c r="D84">
        <v>0</v>
      </c>
      <c r="E84">
        <v>0</v>
      </c>
      <c r="F84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>
        <v>0</v>
      </c>
      <c r="M84">
        <v>2</v>
      </c>
      <c r="N84" t="s">
        <v>20</v>
      </c>
      <c r="O84" s="8">
        <v>53.708399999999997</v>
      </c>
      <c r="P84" s="8">
        <v>-132.959</v>
      </c>
    </row>
    <row r="85" spans="1:16">
      <c r="A85">
        <v>1950</v>
      </c>
      <c r="B85">
        <v>0</v>
      </c>
      <c r="C85">
        <v>0</v>
      </c>
      <c r="D85">
        <v>0</v>
      </c>
      <c r="E85">
        <v>0</v>
      </c>
      <c r="F85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>
        <v>0</v>
      </c>
      <c r="M85">
        <v>2</v>
      </c>
      <c r="N85" t="s">
        <v>20</v>
      </c>
      <c r="O85" s="8">
        <v>53.708399999999997</v>
      </c>
      <c r="P85" s="8">
        <v>-132.959</v>
      </c>
    </row>
    <row r="86" spans="1:16">
      <c r="A86">
        <v>1951</v>
      </c>
      <c r="B86">
        <v>0</v>
      </c>
      <c r="C86">
        <v>0</v>
      </c>
      <c r="D86">
        <v>0</v>
      </c>
      <c r="E86">
        <v>0</v>
      </c>
      <c r="F86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>
        <v>0</v>
      </c>
      <c r="M86">
        <v>2</v>
      </c>
      <c r="N86" t="s">
        <v>20</v>
      </c>
      <c r="O86" s="8">
        <v>53.708399999999997</v>
      </c>
      <c r="P86" s="8">
        <v>-132.959</v>
      </c>
    </row>
    <row r="87" spans="1:16">
      <c r="A87">
        <v>1952</v>
      </c>
      <c r="B87">
        <v>0</v>
      </c>
      <c r="C87">
        <v>0</v>
      </c>
      <c r="D87">
        <v>0</v>
      </c>
      <c r="E87">
        <v>0</v>
      </c>
      <c r="F87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>
        <v>0</v>
      </c>
      <c r="M87">
        <v>2</v>
      </c>
      <c r="N87" t="s">
        <v>20</v>
      </c>
      <c r="O87" s="8">
        <v>53.708399999999997</v>
      </c>
      <c r="P87" s="8">
        <v>-132.959</v>
      </c>
    </row>
    <row r="88" spans="1:16">
      <c r="A88">
        <v>1953</v>
      </c>
      <c r="B88">
        <v>0</v>
      </c>
      <c r="C88">
        <v>0</v>
      </c>
      <c r="D88">
        <v>0</v>
      </c>
      <c r="E88">
        <v>0</v>
      </c>
      <c r="F88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>
        <v>0</v>
      </c>
      <c r="M88">
        <v>2</v>
      </c>
      <c r="N88" t="s">
        <v>20</v>
      </c>
      <c r="O88" s="8">
        <v>53.708399999999997</v>
      </c>
      <c r="P88" s="8">
        <v>-132.959</v>
      </c>
    </row>
    <row r="89" spans="1:16">
      <c r="A89">
        <v>1954</v>
      </c>
      <c r="B89">
        <v>0</v>
      </c>
      <c r="C89">
        <v>0</v>
      </c>
      <c r="D89">
        <v>0</v>
      </c>
      <c r="E89">
        <v>0</v>
      </c>
      <c r="F89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>
        <v>0</v>
      </c>
      <c r="M89">
        <v>2</v>
      </c>
      <c r="N89" t="s">
        <v>20</v>
      </c>
      <c r="O89" s="8">
        <v>53.708399999999997</v>
      </c>
      <c r="P89" s="8">
        <v>-132.959</v>
      </c>
    </row>
    <row r="90" spans="1:16">
      <c r="A90">
        <v>1955</v>
      </c>
      <c r="B90">
        <v>0</v>
      </c>
      <c r="C90">
        <v>0</v>
      </c>
      <c r="D90">
        <v>0</v>
      </c>
      <c r="E90">
        <v>0</v>
      </c>
      <c r="F90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>
        <v>0</v>
      </c>
      <c r="M90">
        <v>2</v>
      </c>
      <c r="N90" t="s">
        <v>20</v>
      </c>
      <c r="O90" s="8">
        <v>53.708399999999997</v>
      </c>
      <c r="P90" s="8">
        <v>-132.959</v>
      </c>
    </row>
    <row r="91" spans="1:16">
      <c r="A91">
        <v>1956</v>
      </c>
      <c r="B91">
        <v>0</v>
      </c>
      <c r="C91">
        <v>0</v>
      </c>
      <c r="D91">
        <v>0</v>
      </c>
      <c r="E91">
        <v>0</v>
      </c>
      <c r="F91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>
        <v>0</v>
      </c>
      <c r="M91">
        <v>2</v>
      </c>
      <c r="N91" t="s">
        <v>20</v>
      </c>
      <c r="O91" s="8">
        <v>53.708399999999997</v>
      </c>
      <c r="P91" s="8">
        <v>-132.959</v>
      </c>
    </row>
    <row r="92" spans="1:16">
      <c r="A92">
        <v>1957</v>
      </c>
      <c r="B92">
        <v>0</v>
      </c>
      <c r="C92">
        <v>0</v>
      </c>
      <c r="D92">
        <v>0</v>
      </c>
      <c r="E92">
        <v>0</v>
      </c>
      <c r="F92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>
        <v>0</v>
      </c>
      <c r="M92">
        <v>2</v>
      </c>
      <c r="N92" t="s">
        <v>20</v>
      </c>
      <c r="O92" s="8">
        <v>53.708399999999997</v>
      </c>
      <c r="P92" s="8">
        <v>-132.959</v>
      </c>
    </row>
    <row r="93" spans="1:16">
      <c r="A93">
        <v>1958</v>
      </c>
      <c r="B93">
        <v>0</v>
      </c>
      <c r="C93">
        <v>0</v>
      </c>
      <c r="D93">
        <v>0</v>
      </c>
      <c r="E93">
        <v>0</v>
      </c>
      <c r="F93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>
        <v>0</v>
      </c>
      <c r="M93">
        <v>2</v>
      </c>
      <c r="N93" t="s">
        <v>20</v>
      </c>
      <c r="O93" s="8">
        <v>53.708399999999997</v>
      </c>
      <c r="P93" s="8">
        <v>-132.959</v>
      </c>
    </row>
    <row r="94" spans="1:16">
      <c r="A94">
        <v>1959</v>
      </c>
      <c r="B94">
        <v>1</v>
      </c>
      <c r="C94">
        <v>23213</v>
      </c>
      <c r="D94">
        <v>3290</v>
      </c>
      <c r="E94">
        <v>14</v>
      </c>
      <c r="F94">
        <v>2.96</v>
      </c>
      <c r="G94" t="s">
        <v>0</v>
      </c>
      <c r="H94">
        <v>87</v>
      </c>
      <c r="I94">
        <v>87</v>
      </c>
      <c r="J94">
        <v>87</v>
      </c>
      <c r="K94">
        <v>87</v>
      </c>
      <c r="L94">
        <v>0</v>
      </c>
      <c r="M94">
        <v>2</v>
      </c>
      <c r="N94" t="s">
        <v>20</v>
      </c>
      <c r="O94" s="8">
        <v>53.708399999999997</v>
      </c>
      <c r="P94" s="8">
        <v>-132.959</v>
      </c>
    </row>
    <row r="95" spans="1:16">
      <c r="A95">
        <v>1960</v>
      </c>
      <c r="B95">
        <v>1</v>
      </c>
      <c r="C95">
        <v>21560</v>
      </c>
      <c r="D95">
        <v>1737</v>
      </c>
      <c r="E95">
        <v>23</v>
      </c>
      <c r="F95">
        <v>2.96</v>
      </c>
      <c r="G95">
        <v>6.2</v>
      </c>
      <c r="H95">
        <v>90</v>
      </c>
      <c r="I95">
        <v>90</v>
      </c>
      <c r="J95">
        <v>90</v>
      </c>
      <c r="K95">
        <v>90</v>
      </c>
      <c r="L95">
        <v>0</v>
      </c>
      <c r="M95">
        <v>2</v>
      </c>
      <c r="N95" t="s">
        <v>20</v>
      </c>
      <c r="O95" s="8">
        <v>53.708399999999997</v>
      </c>
      <c r="P95" s="8">
        <v>-132.959</v>
      </c>
    </row>
    <row r="96" spans="1:16">
      <c r="A96">
        <v>1961</v>
      </c>
      <c r="B96">
        <v>2</v>
      </c>
      <c r="C96">
        <v>17412</v>
      </c>
      <c r="D96">
        <v>1600</v>
      </c>
      <c r="E96">
        <v>24</v>
      </c>
      <c r="F96">
        <v>1.34</v>
      </c>
      <c r="G96">
        <v>7</v>
      </c>
      <c r="H96">
        <v>97.5</v>
      </c>
      <c r="I96">
        <v>87.7</v>
      </c>
      <c r="J96">
        <v>82</v>
      </c>
      <c r="K96">
        <v>113</v>
      </c>
      <c r="L96">
        <v>0</v>
      </c>
      <c r="M96">
        <v>2</v>
      </c>
      <c r="N96" t="s">
        <v>20</v>
      </c>
      <c r="O96" s="8">
        <v>53.708399999999997</v>
      </c>
      <c r="P96" s="8">
        <v>-132.959</v>
      </c>
    </row>
    <row r="97" spans="1:16">
      <c r="A97">
        <v>1962</v>
      </c>
      <c r="B97">
        <v>2</v>
      </c>
      <c r="C97">
        <v>45379</v>
      </c>
      <c r="D97">
        <v>3656</v>
      </c>
      <c r="E97">
        <v>69</v>
      </c>
      <c r="F97">
        <v>2.96</v>
      </c>
      <c r="G97">
        <v>6.1</v>
      </c>
      <c r="H97">
        <v>82.5</v>
      </c>
      <c r="I97">
        <v>82.5</v>
      </c>
      <c r="J97">
        <v>82</v>
      </c>
      <c r="K97">
        <v>83</v>
      </c>
      <c r="L97">
        <v>0</v>
      </c>
      <c r="M97">
        <v>2</v>
      </c>
      <c r="N97" t="s">
        <v>20</v>
      </c>
      <c r="O97" s="8">
        <v>53.708399999999997</v>
      </c>
      <c r="P97" s="8">
        <v>-132.959</v>
      </c>
    </row>
    <row r="98" spans="1:16">
      <c r="A98">
        <v>1963</v>
      </c>
      <c r="B98">
        <v>10</v>
      </c>
      <c r="C98">
        <v>106646</v>
      </c>
      <c r="D98">
        <v>8592</v>
      </c>
      <c r="E98">
        <v>7</v>
      </c>
      <c r="F98">
        <v>2.15</v>
      </c>
      <c r="G98">
        <v>6.8</v>
      </c>
      <c r="H98">
        <v>84</v>
      </c>
      <c r="I98">
        <v>84</v>
      </c>
      <c r="J98">
        <v>84</v>
      </c>
      <c r="K98">
        <v>84</v>
      </c>
      <c r="L98">
        <v>0</v>
      </c>
      <c r="M98">
        <v>2</v>
      </c>
      <c r="N98" t="s">
        <v>20</v>
      </c>
      <c r="O98" s="8">
        <v>53.708399999999997</v>
      </c>
      <c r="P98" s="8">
        <v>-132.959</v>
      </c>
    </row>
    <row r="99" spans="1:16">
      <c r="A99">
        <v>1964</v>
      </c>
      <c r="B99">
        <v>7</v>
      </c>
      <c r="C99">
        <v>57806</v>
      </c>
      <c r="D99">
        <v>5604</v>
      </c>
      <c r="E99">
        <v>7</v>
      </c>
      <c r="F99">
        <v>0.89</v>
      </c>
      <c r="G99">
        <v>6.1</v>
      </c>
      <c r="H99">
        <v>86</v>
      </c>
      <c r="I99">
        <v>86</v>
      </c>
      <c r="J99">
        <v>86</v>
      </c>
      <c r="K99">
        <v>86</v>
      </c>
      <c r="L99">
        <v>0</v>
      </c>
      <c r="M99">
        <v>2</v>
      </c>
      <c r="N99" t="s">
        <v>20</v>
      </c>
      <c r="O99" s="8">
        <v>53.708399999999997</v>
      </c>
      <c r="P99" s="8">
        <v>-132.959</v>
      </c>
    </row>
    <row r="100" spans="1:16">
      <c r="A100">
        <v>1965</v>
      </c>
      <c r="B100">
        <v>0</v>
      </c>
      <c r="C100">
        <v>0</v>
      </c>
      <c r="D100">
        <v>0</v>
      </c>
      <c r="E100">
        <v>0</v>
      </c>
      <c r="F100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>
        <v>0</v>
      </c>
      <c r="M100">
        <v>2</v>
      </c>
      <c r="N100" t="s">
        <v>20</v>
      </c>
      <c r="O100" s="8">
        <v>53.708399999999997</v>
      </c>
      <c r="P100" s="8">
        <v>-132.959</v>
      </c>
    </row>
    <row r="101" spans="1:16">
      <c r="A101">
        <v>1966</v>
      </c>
      <c r="B101">
        <v>5</v>
      </c>
      <c r="C101">
        <v>3736</v>
      </c>
      <c r="D101">
        <v>301</v>
      </c>
      <c r="E101">
        <v>23</v>
      </c>
      <c r="F101">
        <v>0.55000000000000004</v>
      </c>
      <c r="G101">
        <v>6.7</v>
      </c>
      <c r="H101">
        <v>90</v>
      </c>
      <c r="I101">
        <v>90</v>
      </c>
      <c r="J101">
        <v>90</v>
      </c>
      <c r="K101">
        <v>90</v>
      </c>
      <c r="L101">
        <v>0</v>
      </c>
      <c r="M101">
        <v>2</v>
      </c>
      <c r="N101" t="s">
        <v>20</v>
      </c>
      <c r="O101" s="8">
        <v>53.708399999999997</v>
      </c>
      <c r="P101" s="8">
        <v>-132.959</v>
      </c>
    </row>
    <row r="102" spans="1:16">
      <c r="A102">
        <v>1967</v>
      </c>
      <c r="B102">
        <v>9</v>
      </c>
      <c r="C102">
        <v>52865</v>
      </c>
      <c r="D102">
        <v>4717</v>
      </c>
      <c r="E102">
        <v>42</v>
      </c>
      <c r="F102">
        <v>0.9</v>
      </c>
      <c r="G102">
        <v>5.8</v>
      </c>
      <c r="H102">
        <v>85</v>
      </c>
      <c r="I102">
        <v>84.1</v>
      </c>
      <c r="J102">
        <v>81</v>
      </c>
      <c r="K102">
        <v>88</v>
      </c>
      <c r="L102">
        <v>0</v>
      </c>
      <c r="M102">
        <v>2</v>
      </c>
      <c r="N102" t="s">
        <v>20</v>
      </c>
      <c r="O102" s="8">
        <v>53.708399999999997</v>
      </c>
      <c r="P102" s="8">
        <v>-132.959</v>
      </c>
    </row>
    <row r="103" spans="1:16">
      <c r="A103">
        <v>1968</v>
      </c>
      <c r="B103">
        <v>1</v>
      </c>
      <c r="C103">
        <v>191</v>
      </c>
      <c r="D103">
        <v>27</v>
      </c>
      <c r="E103">
        <v>5</v>
      </c>
      <c r="F103">
        <v>1.34</v>
      </c>
      <c r="G103">
        <v>6.3</v>
      </c>
      <c r="H103">
        <v>100</v>
      </c>
      <c r="I103">
        <v>100</v>
      </c>
      <c r="J103">
        <v>100</v>
      </c>
      <c r="K103">
        <v>100</v>
      </c>
      <c r="L103">
        <v>0</v>
      </c>
      <c r="M103">
        <v>2</v>
      </c>
      <c r="N103" t="s">
        <v>20</v>
      </c>
      <c r="O103" s="8">
        <v>53.708399999999997</v>
      </c>
      <c r="P103" s="8">
        <v>-132.959</v>
      </c>
    </row>
    <row r="104" spans="1:16">
      <c r="A104">
        <v>1969</v>
      </c>
      <c r="B104">
        <v>4</v>
      </c>
      <c r="C104">
        <v>16120</v>
      </c>
      <c r="D104">
        <v>1417</v>
      </c>
      <c r="E104">
        <v>11</v>
      </c>
      <c r="F104">
        <v>0.75</v>
      </c>
      <c r="G104">
        <v>6.3</v>
      </c>
      <c r="H104">
        <v>95.5</v>
      </c>
      <c r="I104">
        <v>95.9</v>
      </c>
      <c r="J104">
        <v>95</v>
      </c>
      <c r="K104">
        <v>96</v>
      </c>
      <c r="L104">
        <v>0</v>
      </c>
      <c r="M104">
        <v>2</v>
      </c>
      <c r="N104" t="s">
        <v>20</v>
      </c>
      <c r="O104" s="8">
        <v>53.708399999999997</v>
      </c>
      <c r="P104" s="8">
        <v>-132.959</v>
      </c>
    </row>
    <row r="105" spans="1:16">
      <c r="A105">
        <v>1970</v>
      </c>
      <c r="B105">
        <v>3</v>
      </c>
      <c r="C105">
        <v>16186</v>
      </c>
      <c r="D105">
        <v>1462</v>
      </c>
      <c r="E105">
        <v>16</v>
      </c>
      <c r="F105">
        <v>1.88</v>
      </c>
      <c r="G105">
        <v>7.2</v>
      </c>
      <c r="H105">
        <v>98.3</v>
      </c>
      <c r="I105">
        <v>100</v>
      </c>
      <c r="J105">
        <v>91</v>
      </c>
      <c r="K105">
        <v>104</v>
      </c>
      <c r="L105">
        <v>0</v>
      </c>
      <c r="M105">
        <v>2</v>
      </c>
      <c r="N105" t="s">
        <v>20</v>
      </c>
      <c r="O105" s="8">
        <v>53.708399999999997</v>
      </c>
      <c r="P105" s="8">
        <v>-132.959</v>
      </c>
    </row>
    <row r="106" spans="1:16">
      <c r="A106">
        <v>1971</v>
      </c>
      <c r="B106">
        <v>1</v>
      </c>
      <c r="C106">
        <v>11345</v>
      </c>
      <c r="D106">
        <v>914</v>
      </c>
      <c r="E106">
        <v>3</v>
      </c>
      <c r="F106">
        <v>0.55000000000000004</v>
      </c>
      <c r="G106">
        <v>6.2</v>
      </c>
      <c r="H106">
        <v>95</v>
      </c>
      <c r="I106">
        <v>95</v>
      </c>
      <c r="J106">
        <v>95</v>
      </c>
      <c r="K106">
        <v>95</v>
      </c>
      <c r="L106">
        <v>0</v>
      </c>
      <c r="M106">
        <v>2</v>
      </c>
      <c r="N106" t="s">
        <v>20</v>
      </c>
      <c r="O106" s="8">
        <v>53.708399999999997</v>
      </c>
      <c r="P106" s="8">
        <v>-132.959</v>
      </c>
    </row>
    <row r="107" spans="1:16">
      <c r="A107">
        <v>1972</v>
      </c>
      <c r="B107">
        <v>4</v>
      </c>
      <c r="C107">
        <v>19754</v>
      </c>
      <c r="D107">
        <v>1828</v>
      </c>
      <c r="E107">
        <v>32</v>
      </c>
      <c r="F107">
        <v>1.1499999999999999</v>
      </c>
      <c r="G107">
        <v>5.2</v>
      </c>
      <c r="H107">
        <v>108.5</v>
      </c>
      <c r="I107">
        <v>109</v>
      </c>
      <c r="J107">
        <v>101</v>
      </c>
      <c r="K107">
        <v>111</v>
      </c>
      <c r="L107">
        <v>0</v>
      </c>
      <c r="M107">
        <v>2</v>
      </c>
      <c r="N107" t="s">
        <v>20</v>
      </c>
      <c r="O107" s="8">
        <v>53.708399999999997</v>
      </c>
      <c r="P107" s="8">
        <v>-132.959</v>
      </c>
    </row>
    <row r="108" spans="1:16">
      <c r="A108">
        <v>1973</v>
      </c>
      <c r="B108">
        <v>1</v>
      </c>
      <c r="C108">
        <v>5158</v>
      </c>
      <c r="D108">
        <v>731</v>
      </c>
      <c r="E108">
        <v>5</v>
      </c>
      <c r="F108">
        <v>0.55000000000000004</v>
      </c>
      <c r="G108">
        <v>6.9</v>
      </c>
      <c r="H108">
        <v>97</v>
      </c>
      <c r="I108">
        <v>97</v>
      </c>
      <c r="J108">
        <v>97</v>
      </c>
      <c r="K108">
        <v>97</v>
      </c>
      <c r="L108">
        <v>0</v>
      </c>
      <c r="M108">
        <v>2</v>
      </c>
      <c r="N108" t="s">
        <v>20</v>
      </c>
      <c r="O108" s="8">
        <v>53.708399999999997</v>
      </c>
      <c r="P108" s="8">
        <v>-132.959</v>
      </c>
    </row>
    <row r="109" spans="1:16">
      <c r="A109">
        <v>1974</v>
      </c>
      <c r="B109">
        <v>0</v>
      </c>
      <c r="C109">
        <v>0</v>
      </c>
      <c r="D109">
        <v>0</v>
      </c>
      <c r="E109">
        <v>0</v>
      </c>
      <c r="F109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>
        <v>0</v>
      </c>
      <c r="M109">
        <v>2</v>
      </c>
      <c r="N109" t="s">
        <v>20</v>
      </c>
      <c r="O109" s="8">
        <v>53.708399999999997</v>
      </c>
      <c r="P109" s="8">
        <v>-132.959</v>
      </c>
    </row>
    <row r="110" spans="1:16">
      <c r="A110">
        <v>1975</v>
      </c>
      <c r="B110">
        <v>2</v>
      </c>
      <c r="C110">
        <v>16459</v>
      </c>
      <c r="D110">
        <v>1326</v>
      </c>
      <c r="E110">
        <v>8</v>
      </c>
      <c r="F110">
        <v>1.34</v>
      </c>
      <c r="G110">
        <v>6.2</v>
      </c>
      <c r="H110">
        <v>97</v>
      </c>
      <c r="I110">
        <v>97</v>
      </c>
      <c r="J110">
        <v>97</v>
      </c>
      <c r="K110">
        <v>97</v>
      </c>
      <c r="L110">
        <v>0</v>
      </c>
      <c r="M110">
        <v>2</v>
      </c>
      <c r="N110" t="s">
        <v>20</v>
      </c>
      <c r="O110" s="8">
        <v>53.708399999999997</v>
      </c>
      <c r="P110" s="8">
        <v>-132.959</v>
      </c>
    </row>
    <row r="111" spans="1:16">
      <c r="A111">
        <v>1976</v>
      </c>
      <c r="B111">
        <v>7</v>
      </c>
      <c r="C111">
        <v>20255</v>
      </c>
      <c r="D111">
        <v>1760</v>
      </c>
      <c r="E111">
        <v>6</v>
      </c>
      <c r="F111">
        <v>1.34</v>
      </c>
      <c r="G111">
        <v>6.4</v>
      </c>
      <c r="H111">
        <v>102.4</v>
      </c>
      <c r="I111">
        <v>102.1</v>
      </c>
      <c r="J111">
        <v>102</v>
      </c>
      <c r="K111">
        <v>103</v>
      </c>
      <c r="L111">
        <v>0</v>
      </c>
      <c r="M111">
        <v>2</v>
      </c>
      <c r="N111" t="s">
        <v>20</v>
      </c>
      <c r="O111" s="8">
        <v>53.708399999999997</v>
      </c>
      <c r="P111" s="8">
        <v>-132.959</v>
      </c>
    </row>
    <row r="112" spans="1:16">
      <c r="A112">
        <v>1977</v>
      </c>
      <c r="B112">
        <v>3</v>
      </c>
      <c r="C112">
        <v>19860</v>
      </c>
      <c r="D112">
        <v>1600</v>
      </c>
      <c r="E112">
        <v>5</v>
      </c>
      <c r="F112">
        <v>1.33</v>
      </c>
      <c r="G112">
        <v>7.1</v>
      </c>
      <c r="H112">
        <v>94</v>
      </c>
      <c r="I112">
        <v>94</v>
      </c>
      <c r="J112">
        <v>94</v>
      </c>
      <c r="K112">
        <v>94</v>
      </c>
      <c r="L112">
        <v>0</v>
      </c>
      <c r="M112">
        <v>2</v>
      </c>
      <c r="N112" t="s">
        <v>20</v>
      </c>
      <c r="O112" s="8">
        <v>53.708399999999997</v>
      </c>
      <c r="P112" s="8">
        <v>-132.959</v>
      </c>
    </row>
    <row r="113" spans="1:16">
      <c r="A113">
        <v>1978</v>
      </c>
      <c r="B113">
        <v>0</v>
      </c>
      <c r="C113">
        <v>0</v>
      </c>
      <c r="D113">
        <v>0</v>
      </c>
      <c r="E113">
        <v>0</v>
      </c>
      <c r="F113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>
        <v>0</v>
      </c>
      <c r="M113">
        <v>2</v>
      </c>
      <c r="N113" t="s">
        <v>20</v>
      </c>
      <c r="O113" s="8">
        <v>53.708399999999997</v>
      </c>
      <c r="P113" s="8">
        <v>-132.959</v>
      </c>
    </row>
    <row r="114" spans="1:16">
      <c r="A114">
        <v>1979</v>
      </c>
      <c r="B114">
        <v>3</v>
      </c>
      <c r="C114">
        <v>3066</v>
      </c>
      <c r="D114">
        <v>247</v>
      </c>
      <c r="E114">
        <v>17</v>
      </c>
      <c r="F114">
        <v>0.87</v>
      </c>
      <c r="G114">
        <v>6.2</v>
      </c>
      <c r="H114">
        <v>91.3</v>
      </c>
      <c r="I114">
        <v>88.1</v>
      </c>
      <c r="J114">
        <v>86</v>
      </c>
      <c r="K114">
        <v>94</v>
      </c>
      <c r="L114">
        <v>0</v>
      </c>
      <c r="M114">
        <v>2</v>
      </c>
      <c r="N114" t="s">
        <v>20</v>
      </c>
      <c r="O114" s="8">
        <v>53.708399999999997</v>
      </c>
      <c r="P114" s="8">
        <v>-132.959</v>
      </c>
    </row>
    <row r="115" spans="1:16">
      <c r="A115">
        <v>1980</v>
      </c>
      <c r="B115">
        <v>12</v>
      </c>
      <c r="C115">
        <v>62818</v>
      </c>
      <c r="D115">
        <v>5061</v>
      </c>
      <c r="E115">
        <v>14</v>
      </c>
      <c r="F115">
        <v>2.3199999999999998</v>
      </c>
      <c r="G115">
        <v>7.3</v>
      </c>
      <c r="H115">
        <v>89</v>
      </c>
      <c r="I115">
        <v>89</v>
      </c>
      <c r="J115">
        <v>89</v>
      </c>
      <c r="K115">
        <v>89</v>
      </c>
      <c r="L115">
        <v>0</v>
      </c>
      <c r="M115">
        <v>2</v>
      </c>
      <c r="N115" t="s">
        <v>20</v>
      </c>
      <c r="O115" s="8">
        <v>53.708399999999997</v>
      </c>
      <c r="P115" s="8">
        <v>-132.959</v>
      </c>
    </row>
    <row r="116" spans="1:16">
      <c r="A116">
        <v>1981</v>
      </c>
      <c r="B116">
        <v>29</v>
      </c>
      <c r="C116">
        <v>168501</v>
      </c>
      <c r="D116">
        <v>15883</v>
      </c>
      <c r="E116">
        <v>21</v>
      </c>
      <c r="F116">
        <v>1.03</v>
      </c>
      <c r="G116">
        <v>7.8</v>
      </c>
      <c r="H116">
        <v>80.900000000000006</v>
      </c>
      <c r="I116">
        <v>78.5</v>
      </c>
      <c r="J116">
        <v>74</v>
      </c>
      <c r="K116">
        <v>94</v>
      </c>
      <c r="L116">
        <v>0</v>
      </c>
      <c r="M116">
        <v>2</v>
      </c>
      <c r="N116" t="s">
        <v>20</v>
      </c>
      <c r="O116" s="8">
        <v>53.708399999999997</v>
      </c>
      <c r="P116" s="8">
        <v>-132.959</v>
      </c>
    </row>
    <row r="117" spans="1:16">
      <c r="A117">
        <v>1982</v>
      </c>
      <c r="B117">
        <v>17</v>
      </c>
      <c r="C117">
        <v>238208</v>
      </c>
      <c r="D117">
        <v>19652</v>
      </c>
      <c r="E117">
        <v>21</v>
      </c>
      <c r="F117">
        <v>2.5499999999999998</v>
      </c>
      <c r="G117">
        <v>6.2</v>
      </c>
      <c r="H117">
        <v>78</v>
      </c>
      <c r="I117">
        <v>71.7</v>
      </c>
      <c r="J117">
        <v>64</v>
      </c>
      <c r="K117">
        <v>92</v>
      </c>
      <c r="L117">
        <v>0</v>
      </c>
      <c r="M117">
        <v>2</v>
      </c>
      <c r="N117" t="s">
        <v>20</v>
      </c>
      <c r="O117" s="8">
        <v>53.708399999999997</v>
      </c>
      <c r="P117" s="8">
        <v>-132.959</v>
      </c>
    </row>
    <row r="118" spans="1:16">
      <c r="A118">
        <v>1983</v>
      </c>
      <c r="B118">
        <v>17</v>
      </c>
      <c r="C118">
        <v>173263</v>
      </c>
      <c r="D118">
        <v>12650</v>
      </c>
      <c r="E118">
        <v>31</v>
      </c>
      <c r="F118">
        <v>1.53</v>
      </c>
      <c r="G118">
        <v>7.6</v>
      </c>
      <c r="H118">
        <v>67.7</v>
      </c>
      <c r="I118">
        <v>66.599999999999994</v>
      </c>
      <c r="J118">
        <v>62</v>
      </c>
      <c r="K118">
        <v>83</v>
      </c>
      <c r="L118">
        <v>0</v>
      </c>
      <c r="M118">
        <v>2</v>
      </c>
      <c r="N118" t="s">
        <v>20</v>
      </c>
      <c r="O118" s="8">
        <v>53.708399999999997</v>
      </c>
      <c r="P118" s="8">
        <v>-132.959</v>
      </c>
    </row>
    <row r="119" spans="1:16">
      <c r="A119">
        <v>1984</v>
      </c>
      <c r="B119">
        <v>16</v>
      </c>
      <c r="C119">
        <v>98965</v>
      </c>
      <c r="D119">
        <v>8750</v>
      </c>
      <c r="E119">
        <v>18</v>
      </c>
      <c r="F119">
        <v>1.84</v>
      </c>
      <c r="G119">
        <v>7.4</v>
      </c>
      <c r="H119">
        <v>67.599999999999994</v>
      </c>
      <c r="I119">
        <v>66.400000000000006</v>
      </c>
      <c r="J119">
        <v>64</v>
      </c>
      <c r="K119">
        <v>83</v>
      </c>
      <c r="L119">
        <v>0</v>
      </c>
      <c r="M119">
        <v>2</v>
      </c>
      <c r="N119" t="s">
        <v>20</v>
      </c>
      <c r="O119" s="8">
        <v>53.708399999999997</v>
      </c>
      <c r="P119" s="8">
        <v>-132.959</v>
      </c>
    </row>
    <row r="120" spans="1:16">
      <c r="A120">
        <v>1985</v>
      </c>
      <c r="B120">
        <v>9</v>
      </c>
      <c r="C120">
        <v>106745</v>
      </c>
      <c r="D120">
        <v>8600</v>
      </c>
      <c r="E120">
        <v>24</v>
      </c>
      <c r="F120">
        <v>1.31</v>
      </c>
      <c r="G120">
        <v>6.9</v>
      </c>
      <c r="H120">
        <v>78</v>
      </c>
      <c r="I120">
        <v>78</v>
      </c>
      <c r="J120">
        <v>78</v>
      </c>
      <c r="K120">
        <v>78</v>
      </c>
      <c r="L120">
        <v>0</v>
      </c>
      <c r="M120">
        <v>2</v>
      </c>
      <c r="N120" t="s">
        <v>20</v>
      </c>
      <c r="O120" s="8">
        <v>53.708399999999997</v>
      </c>
      <c r="P120" s="8">
        <v>-132.959</v>
      </c>
    </row>
    <row r="121" spans="1:16">
      <c r="A121">
        <v>1986</v>
      </c>
      <c r="B121">
        <v>5</v>
      </c>
      <c r="C121">
        <v>62495</v>
      </c>
      <c r="D121">
        <v>5035</v>
      </c>
      <c r="E121">
        <v>35</v>
      </c>
      <c r="F121">
        <v>0.72</v>
      </c>
      <c r="G121">
        <v>7</v>
      </c>
      <c r="H121">
        <v>68</v>
      </c>
      <c r="I121">
        <v>68</v>
      </c>
      <c r="J121">
        <v>68</v>
      </c>
      <c r="K121">
        <v>68</v>
      </c>
      <c r="L121">
        <v>0</v>
      </c>
      <c r="M121">
        <v>2</v>
      </c>
      <c r="N121" t="s">
        <v>20</v>
      </c>
      <c r="O121" s="8">
        <v>53.708399999999997</v>
      </c>
      <c r="P121" s="8">
        <v>-132.959</v>
      </c>
    </row>
    <row r="122" spans="1:16">
      <c r="A122">
        <v>1987</v>
      </c>
      <c r="B122">
        <v>6</v>
      </c>
      <c r="C122">
        <v>89368</v>
      </c>
      <c r="D122">
        <v>7200</v>
      </c>
      <c r="E122">
        <v>58</v>
      </c>
      <c r="F122">
        <v>1.17</v>
      </c>
      <c r="G122">
        <v>7.6</v>
      </c>
      <c r="H122">
        <v>77</v>
      </c>
      <c r="I122">
        <v>77</v>
      </c>
      <c r="J122">
        <v>77</v>
      </c>
      <c r="K122">
        <v>77</v>
      </c>
      <c r="L122">
        <v>0</v>
      </c>
      <c r="M122">
        <v>2</v>
      </c>
      <c r="N122" t="s">
        <v>20</v>
      </c>
      <c r="O122" s="8">
        <v>53.708399999999997</v>
      </c>
      <c r="P122" s="8">
        <v>-132.959</v>
      </c>
    </row>
    <row r="123" spans="1:16">
      <c r="A123">
        <v>1988</v>
      </c>
      <c r="B123">
        <v>14</v>
      </c>
      <c r="C123">
        <v>190213</v>
      </c>
      <c r="D123">
        <v>15200</v>
      </c>
      <c r="E123">
        <v>16</v>
      </c>
      <c r="F123">
        <v>1.53</v>
      </c>
      <c r="G123">
        <v>7</v>
      </c>
      <c r="H123">
        <v>100.4</v>
      </c>
      <c r="I123">
        <v>94.5</v>
      </c>
      <c r="J123">
        <v>90</v>
      </c>
      <c r="K123">
        <v>112</v>
      </c>
      <c r="L123">
        <v>0</v>
      </c>
      <c r="M123">
        <v>2</v>
      </c>
      <c r="N123" t="s">
        <v>20</v>
      </c>
      <c r="O123" s="8">
        <v>53.708399999999997</v>
      </c>
      <c r="P123" s="8">
        <v>-132.959</v>
      </c>
    </row>
    <row r="124" spans="1:16">
      <c r="A124">
        <v>1989</v>
      </c>
      <c r="B124">
        <v>17</v>
      </c>
      <c r="C124">
        <v>123301</v>
      </c>
      <c r="D124">
        <v>6160</v>
      </c>
      <c r="E124">
        <v>78</v>
      </c>
      <c r="F124">
        <v>1.45</v>
      </c>
      <c r="G124">
        <v>6.6</v>
      </c>
      <c r="H124">
        <v>99.1</v>
      </c>
      <c r="I124">
        <v>96</v>
      </c>
      <c r="J124">
        <v>88</v>
      </c>
      <c r="K124">
        <v>108</v>
      </c>
      <c r="L124">
        <v>0</v>
      </c>
      <c r="M124">
        <v>2</v>
      </c>
      <c r="N124" t="s">
        <v>20</v>
      </c>
      <c r="O124" s="8">
        <v>53.708399999999997</v>
      </c>
      <c r="P124" s="8">
        <v>-132.959</v>
      </c>
    </row>
    <row r="125" spans="1:16">
      <c r="A125">
        <v>1990</v>
      </c>
      <c r="B125">
        <v>9</v>
      </c>
      <c r="C125">
        <v>229005</v>
      </c>
      <c r="D125">
        <v>18450</v>
      </c>
      <c r="E125">
        <v>28</v>
      </c>
      <c r="F125">
        <v>6.77</v>
      </c>
      <c r="G125">
        <v>6.7</v>
      </c>
      <c r="H125">
        <v>78</v>
      </c>
      <c r="I125">
        <v>78</v>
      </c>
      <c r="J125">
        <v>78</v>
      </c>
      <c r="K125">
        <v>78</v>
      </c>
      <c r="L125">
        <v>85</v>
      </c>
      <c r="M125">
        <v>2</v>
      </c>
      <c r="N125" t="s">
        <v>20</v>
      </c>
      <c r="O125" s="8">
        <v>53.708399999999997</v>
      </c>
      <c r="P125" s="8">
        <v>-132.959</v>
      </c>
    </row>
    <row r="126" spans="1:16">
      <c r="A126">
        <v>1991</v>
      </c>
      <c r="B126">
        <v>1</v>
      </c>
      <c r="C126">
        <v>164470</v>
      </c>
      <c r="D126">
        <v>3900</v>
      </c>
      <c r="E126">
        <v>66</v>
      </c>
      <c r="F126">
        <v>2</v>
      </c>
      <c r="G126">
        <v>6</v>
      </c>
      <c r="H126">
        <v>80</v>
      </c>
      <c r="I126">
        <v>80</v>
      </c>
      <c r="J126">
        <v>80</v>
      </c>
      <c r="K126">
        <v>80</v>
      </c>
      <c r="L126">
        <v>100</v>
      </c>
      <c r="M126">
        <v>2</v>
      </c>
      <c r="N126" t="s">
        <v>20</v>
      </c>
      <c r="O126" s="8">
        <v>53.708399999999997</v>
      </c>
      <c r="P126" s="8">
        <v>-132.959</v>
      </c>
    </row>
    <row r="127" spans="1:16">
      <c r="A127">
        <v>1992</v>
      </c>
      <c r="B127">
        <v>3</v>
      </c>
      <c r="C127">
        <v>162735</v>
      </c>
      <c r="D127">
        <v>4000</v>
      </c>
      <c r="E127">
        <v>23</v>
      </c>
      <c r="F127">
        <v>1.72</v>
      </c>
      <c r="G127">
        <v>8.1</v>
      </c>
      <c r="H127">
        <v>87.7</v>
      </c>
      <c r="I127">
        <v>86.1</v>
      </c>
      <c r="J127">
        <v>86</v>
      </c>
      <c r="K127">
        <v>91</v>
      </c>
      <c r="L127">
        <v>100</v>
      </c>
      <c r="M127">
        <v>2</v>
      </c>
      <c r="N127" t="s">
        <v>20</v>
      </c>
      <c r="O127" s="8">
        <v>53.708399999999997</v>
      </c>
      <c r="P127" s="8">
        <v>-132.959</v>
      </c>
    </row>
    <row r="128" spans="1:16">
      <c r="A128">
        <v>1993</v>
      </c>
      <c r="B128">
        <v>2</v>
      </c>
      <c r="C128">
        <v>147625</v>
      </c>
      <c r="D128">
        <v>4250</v>
      </c>
      <c r="E128">
        <v>7</v>
      </c>
      <c r="F128">
        <v>1.67</v>
      </c>
      <c r="G128">
        <v>6.5</v>
      </c>
      <c r="H128">
        <v>81.5</v>
      </c>
      <c r="I128">
        <v>76.5</v>
      </c>
      <c r="J128">
        <v>76</v>
      </c>
      <c r="K128">
        <v>87</v>
      </c>
      <c r="L128">
        <v>100</v>
      </c>
      <c r="M128">
        <v>2</v>
      </c>
      <c r="N128" t="s">
        <v>20</v>
      </c>
      <c r="O128" s="8">
        <v>53.708399999999997</v>
      </c>
      <c r="P128" s="8">
        <v>-132.959</v>
      </c>
    </row>
    <row r="129" spans="1:16">
      <c r="A129">
        <v>1994</v>
      </c>
      <c r="B129">
        <v>2</v>
      </c>
      <c r="C129">
        <v>31539</v>
      </c>
      <c r="D129">
        <v>3020</v>
      </c>
      <c r="E129">
        <v>21</v>
      </c>
      <c r="F129">
        <v>0.17</v>
      </c>
      <c r="G129">
        <v>7.9</v>
      </c>
      <c r="H129">
        <v>98</v>
      </c>
      <c r="I129">
        <v>99</v>
      </c>
      <c r="J129">
        <v>96</v>
      </c>
      <c r="K129">
        <v>100</v>
      </c>
      <c r="L129">
        <v>100</v>
      </c>
      <c r="M129">
        <v>2</v>
      </c>
      <c r="N129" t="s">
        <v>20</v>
      </c>
      <c r="O129" s="8">
        <v>53.708399999999997</v>
      </c>
      <c r="P129" s="8">
        <v>-132.959</v>
      </c>
    </row>
    <row r="130" spans="1:16">
      <c r="A130">
        <v>1995</v>
      </c>
      <c r="B130">
        <v>0</v>
      </c>
      <c r="C130">
        <v>0</v>
      </c>
      <c r="D130">
        <v>0</v>
      </c>
      <c r="E130">
        <v>0</v>
      </c>
      <c r="F130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>
        <v>0</v>
      </c>
      <c r="M130">
        <v>2</v>
      </c>
      <c r="N130" t="s">
        <v>20</v>
      </c>
      <c r="O130" s="8">
        <v>53.708399999999997</v>
      </c>
      <c r="P130" s="8">
        <v>-132.959</v>
      </c>
    </row>
    <row r="131" spans="1:16">
      <c r="A131">
        <v>1996</v>
      </c>
      <c r="B131">
        <v>1</v>
      </c>
      <c r="C131">
        <v>4965</v>
      </c>
      <c r="D131">
        <v>400</v>
      </c>
      <c r="E131">
        <v>50</v>
      </c>
      <c r="F131">
        <v>1.1499999999999999</v>
      </c>
      <c r="G131">
        <v>6.6</v>
      </c>
      <c r="H131">
        <v>90</v>
      </c>
      <c r="I131">
        <v>90</v>
      </c>
      <c r="J131">
        <v>90</v>
      </c>
      <c r="K131">
        <v>90</v>
      </c>
      <c r="L131">
        <v>0</v>
      </c>
      <c r="M131">
        <v>2</v>
      </c>
      <c r="N131" t="s">
        <v>20</v>
      </c>
      <c r="O131" s="8">
        <v>53.708399999999997</v>
      </c>
      <c r="P131" s="8">
        <v>-132.959</v>
      </c>
    </row>
    <row r="132" spans="1:16">
      <c r="A132">
        <v>1997</v>
      </c>
      <c r="B132">
        <v>0</v>
      </c>
      <c r="C132">
        <v>0</v>
      </c>
      <c r="D132">
        <v>0</v>
      </c>
      <c r="E132">
        <v>0</v>
      </c>
      <c r="F132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>
        <v>0</v>
      </c>
      <c r="M132">
        <v>2</v>
      </c>
      <c r="N132" t="s">
        <v>20</v>
      </c>
      <c r="O132" s="8">
        <v>53.708399999999997</v>
      </c>
      <c r="P132" s="8">
        <v>-132.959</v>
      </c>
    </row>
    <row r="133" spans="1:16">
      <c r="A133">
        <v>1998</v>
      </c>
      <c r="B133">
        <v>2</v>
      </c>
      <c r="C133">
        <v>26066</v>
      </c>
      <c r="D133">
        <v>2100</v>
      </c>
      <c r="E133">
        <v>30</v>
      </c>
      <c r="F133">
        <v>0.63</v>
      </c>
      <c r="G133">
        <v>8.6999999999999993</v>
      </c>
      <c r="H133">
        <v>90</v>
      </c>
      <c r="I133">
        <v>90</v>
      </c>
      <c r="J133">
        <v>90</v>
      </c>
      <c r="K133">
        <v>90</v>
      </c>
      <c r="L133">
        <v>100</v>
      </c>
      <c r="M133">
        <v>2</v>
      </c>
      <c r="N133" t="s">
        <v>20</v>
      </c>
      <c r="O133" s="8">
        <v>53.708399999999997</v>
      </c>
      <c r="P133" s="8">
        <v>-132.959</v>
      </c>
    </row>
    <row r="134" spans="1:16">
      <c r="A134">
        <v>1999</v>
      </c>
      <c r="B134">
        <v>0</v>
      </c>
      <c r="C134">
        <v>0</v>
      </c>
      <c r="D134">
        <v>0</v>
      </c>
      <c r="E134">
        <v>0</v>
      </c>
      <c r="F134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>
        <v>0</v>
      </c>
      <c r="M134">
        <v>2</v>
      </c>
      <c r="N134" t="s">
        <v>20</v>
      </c>
      <c r="O134" s="8">
        <v>53.708399999999997</v>
      </c>
      <c r="P134" s="8">
        <v>-132.959</v>
      </c>
    </row>
    <row r="135" spans="1:16">
      <c r="A135">
        <v>2000</v>
      </c>
      <c r="B135">
        <v>0</v>
      </c>
      <c r="C135">
        <v>0</v>
      </c>
      <c r="D135">
        <v>0</v>
      </c>
      <c r="E135">
        <v>0</v>
      </c>
      <c r="F135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>
        <v>0</v>
      </c>
      <c r="M135">
        <v>2</v>
      </c>
      <c r="N135" t="s">
        <v>20</v>
      </c>
      <c r="O135" s="8">
        <v>53.708399999999997</v>
      </c>
      <c r="P135" s="8">
        <v>-132.959</v>
      </c>
    </row>
    <row r="136" spans="1:16">
      <c r="A136">
        <v>2001</v>
      </c>
      <c r="B136">
        <v>2</v>
      </c>
      <c r="C136">
        <v>10100</v>
      </c>
      <c r="D136">
        <v>900</v>
      </c>
      <c r="E136">
        <v>11</v>
      </c>
      <c r="F136">
        <v>2.13</v>
      </c>
      <c r="G136">
        <v>5.8</v>
      </c>
      <c r="H136">
        <v>80</v>
      </c>
      <c r="I136">
        <v>80</v>
      </c>
      <c r="J136">
        <v>80</v>
      </c>
      <c r="K136">
        <v>80</v>
      </c>
      <c r="L136">
        <v>100</v>
      </c>
      <c r="M136">
        <v>2</v>
      </c>
      <c r="N136" t="s">
        <v>20</v>
      </c>
      <c r="O136" s="8">
        <v>53.708399999999997</v>
      </c>
      <c r="P136" s="8">
        <v>-132.959</v>
      </c>
    </row>
    <row r="137" spans="1:16">
      <c r="A137">
        <v>2002</v>
      </c>
      <c r="B137">
        <v>0</v>
      </c>
      <c r="C137">
        <v>0</v>
      </c>
      <c r="D137">
        <v>0</v>
      </c>
      <c r="E137">
        <v>0</v>
      </c>
      <c r="F137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>
        <v>0</v>
      </c>
      <c r="M137">
        <v>2</v>
      </c>
      <c r="N137" t="s">
        <v>20</v>
      </c>
      <c r="O137" s="8">
        <v>53.708399999999997</v>
      </c>
      <c r="P137" s="8">
        <v>-132.959</v>
      </c>
    </row>
    <row r="138" spans="1:16">
      <c r="A138">
        <v>2003</v>
      </c>
      <c r="B138">
        <v>2</v>
      </c>
      <c r="C138">
        <v>84343</v>
      </c>
      <c r="D138">
        <v>2000</v>
      </c>
      <c r="E138">
        <v>63</v>
      </c>
      <c r="F138">
        <v>2</v>
      </c>
      <c r="G138">
        <v>7.3</v>
      </c>
      <c r="H138">
        <v>92</v>
      </c>
      <c r="I138">
        <v>92</v>
      </c>
      <c r="J138">
        <v>92</v>
      </c>
      <c r="K138">
        <v>92</v>
      </c>
      <c r="L138">
        <v>0</v>
      </c>
      <c r="M138">
        <v>2</v>
      </c>
      <c r="N138" t="s">
        <v>20</v>
      </c>
      <c r="O138" s="8">
        <v>53.708399999999997</v>
      </c>
      <c r="P138" s="8">
        <v>-132.959</v>
      </c>
    </row>
    <row r="139" spans="1:16">
      <c r="A139">
        <v>2004</v>
      </c>
      <c r="B139">
        <v>1</v>
      </c>
      <c r="C139">
        <v>81921</v>
      </c>
      <c r="D139">
        <v>6600</v>
      </c>
      <c r="E139">
        <v>31</v>
      </c>
      <c r="F139">
        <v>1.1200000000000001</v>
      </c>
      <c r="G139">
        <v>7.3</v>
      </c>
      <c r="H139">
        <v>86</v>
      </c>
      <c r="I139">
        <v>86</v>
      </c>
      <c r="J139">
        <v>86</v>
      </c>
      <c r="K139">
        <v>86</v>
      </c>
      <c r="L139">
        <v>100</v>
      </c>
      <c r="M139">
        <v>2</v>
      </c>
      <c r="N139" t="s">
        <v>20</v>
      </c>
      <c r="O139" s="8">
        <v>53.708399999999997</v>
      </c>
      <c r="P139" s="8">
        <v>-132.959</v>
      </c>
    </row>
    <row r="140" spans="1:16">
      <c r="A140">
        <v>2005</v>
      </c>
      <c r="B140">
        <v>2</v>
      </c>
      <c r="C140">
        <v>10411</v>
      </c>
      <c r="D140">
        <v>1020</v>
      </c>
      <c r="E140">
        <v>49</v>
      </c>
      <c r="F140">
        <v>0.38</v>
      </c>
      <c r="G140">
        <v>6.3</v>
      </c>
      <c r="H140">
        <v>83.5</v>
      </c>
      <c r="I140">
        <v>81.099999999999994</v>
      </c>
      <c r="J140">
        <v>78</v>
      </c>
      <c r="K140">
        <v>89</v>
      </c>
      <c r="L140">
        <v>100</v>
      </c>
      <c r="M140">
        <v>2</v>
      </c>
      <c r="N140" t="s">
        <v>20</v>
      </c>
      <c r="O140" s="8">
        <v>53.708399999999997</v>
      </c>
      <c r="P140" s="8">
        <v>-132.959</v>
      </c>
    </row>
    <row r="141" spans="1:16">
      <c r="A141">
        <v>2006</v>
      </c>
      <c r="B141">
        <v>12</v>
      </c>
      <c r="C141">
        <v>71946</v>
      </c>
      <c r="D141">
        <v>7350</v>
      </c>
      <c r="E141">
        <v>18</v>
      </c>
      <c r="F141">
        <v>1.23</v>
      </c>
      <c r="G141">
        <v>7.3</v>
      </c>
      <c r="H141">
        <v>93.3</v>
      </c>
      <c r="I141">
        <v>93.1</v>
      </c>
      <c r="J141">
        <v>92</v>
      </c>
      <c r="K141">
        <v>95</v>
      </c>
      <c r="L141">
        <v>0</v>
      </c>
      <c r="M141">
        <v>2</v>
      </c>
      <c r="N141" t="s">
        <v>20</v>
      </c>
      <c r="O141" s="8">
        <v>53.708399999999997</v>
      </c>
      <c r="P141" s="8">
        <v>-132.959</v>
      </c>
    </row>
    <row r="142" spans="1:16">
      <c r="A142">
        <v>2007</v>
      </c>
      <c r="B142">
        <v>14</v>
      </c>
      <c r="C142">
        <v>57181</v>
      </c>
      <c r="D142">
        <v>5060</v>
      </c>
      <c r="E142">
        <v>10</v>
      </c>
      <c r="F142">
        <v>1.1000000000000001</v>
      </c>
      <c r="G142">
        <v>7</v>
      </c>
      <c r="H142">
        <v>96.9</v>
      </c>
      <c r="I142">
        <v>94.8</v>
      </c>
      <c r="J142">
        <v>87</v>
      </c>
      <c r="K142">
        <v>106</v>
      </c>
      <c r="L142">
        <v>0</v>
      </c>
      <c r="M142">
        <v>2</v>
      </c>
      <c r="N142" t="s">
        <v>20</v>
      </c>
      <c r="O142" s="8">
        <v>53.708399999999997</v>
      </c>
      <c r="P142" s="8">
        <v>-132.959</v>
      </c>
    </row>
    <row r="143" spans="1:16">
      <c r="A143">
        <v>2008</v>
      </c>
      <c r="B143">
        <v>16</v>
      </c>
      <c r="C143">
        <v>83946</v>
      </c>
      <c r="D143">
        <v>7950</v>
      </c>
      <c r="E143">
        <v>21</v>
      </c>
      <c r="F143">
        <v>1.04</v>
      </c>
      <c r="G143">
        <v>6.1</v>
      </c>
      <c r="H143">
        <v>86.6</v>
      </c>
      <c r="I143">
        <v>86.2</v>
      </c>
      <c r="J143">
        <v>85</v>
      </c>
      <c r="K143">
        <v>90</v>
      </c>
      <c r="L143">
        <v>0</v>
      </c>
      <c r="M143">
        <v>2</v>
      </c>
      <c r="N143" t="s">
        <v>20</v>
      </c>
      <c r="O143" s="8">
        <v>53.708399999999997</v>
      </c>
      <c r="P143" s="8">
        <v>-132.959</v>
      </c>
    </row>
    <row r="144" spans="1:16">
      <c r="A144">
        <v>2009</v>
      </c>
      <c r="B144">
        <v>22</v>
      </c>
      <c r="C144">
        <v>282296</v>
      </c>
      <c r="D144">
        <v>22765</v>
      </c>
      <c r="E144">
        <v>17</v>
      </c>
      <c r="F144">
        <v>1.1200000000000001</v>
      </c>
      <c r="G144">
        <v>5.6</v>
      </c>
      <c r="H144">
        <v>84.6</v>
      </c>
      <c r="I144">
        <v>82.5</v>
      </c>
      <c r="J144">
        <v>82</v>
      </c>
      <c r="K144">
        <v>110</v>
      </c>
      <c r="L144">
        <v>43</v>
      </c>
      <c r="M144">
        <v>2</v>
      </c>
      <c r="N144" t="s">
        <v>20</v>
      </c>
      <c r="O144" s="8">
        <v>53.708399999999997</v>
      </c>
      <c r="P144" s="8">
        <v>-132.959</v>
      </c>
    </row>
    <row r="145" spans="1:16">
      <c r="A145">
        <v>2010</v>
      </c>
      <c r="B145">
        <v>17</v>
      </c>
      <c r="C145">
        <v>181680</v>
      </c>
      <c r="D145">
        <v>17520</v>
      </c>
      <c r="E145">
        <v>29</v>
      </c>
      <c r="F145">
        <v>1.1499999999999999</v>
      </c>
      <c r="G145" t="s">
        <v>0</v>
      </c>
      <c r="H145">
        <v>88.1</v>
      </c>
      <c r="I145">
        <v>82.4</v>
      </c>
      <c r="J145">
        <v>79</v>
      </c>
      <c r="K145">
        <v>93</v>
      </c>
      <c r="L145">
        <v>68</v>
      </c>
      <c r="M145">
        <v>2</v>
      </c>
      <c r="N145" t="s">
        <v>20</v>
      </c>
      <c r="O145" s="8">
        <v>53.708399999999997</v>
      </c>
      <c r="P145" s="8">
        <v>-132.959</v>
      </c>
    </row>
    <row r="146" spans="1:16">
      <c r="A146">
        <v>2011</v>
      </c>
      <c r="B146">
        <v>3</v>
      </c>
      <c r="C146">
        <v>159249</v>
      </c>
      <c r="D146">
        <v>12830</v>
      </c>
      <c r="E146">
        <v>42</v>
      </c>
      <c r="F146">
        <v>1.1000000000000001</v>
      </c>
      <c r="G146">
        <v>6.3</v>
      </c>
      <c r="H146">
        <v>76</v>
      </c>
      <c r="I146">
        <v>76</v>
      </c>
      <c r="J146">
        <v>76</v>
      </c>
      <c r="K146">
        <v>76</v>
      </c>
      <c r="L146">
        <v>100</v>
      </c>
      <c r="M146">
        <v>2</v>
      </c>
      <c r="N146" t="s">
        <v>20</v>
      </c>
      <c r="O146" s="8">
        <v>53.708399999999997</v>
      </c>
      <c r="P146" s="8">
        <v>-132.959</v>
      </c>
    </row>
    <row r="147" spans="1:16">
      <c r="A147">
        <v>2012</v>
      </c>
      <c r="B147">
        <v>32</v>
      </c>
      <c r="C147">
        <v>198727</v>
      </c>
      <c r="D147">
        <v>17127</v>
      </c>
      <c r="E147">
        <v>14</v>
      </c>
      <c r="F147">
        <v>1.38</v>
      </c>
      <c r="G147">
        <v>6.9</v>
      </c>
      <c r="H147">
        <v>85.1</v>
      </c>
      <c r="I147">
        <v>85.8</v>
      </c>
      <c r="J147">
        <v>82</v>
      </c>
      <c r="K147">
        <v>96</v>
      </c>
      <c r="L147">
        <v>0</v>
      </c>
      <c r="M147">
        <v>2</v>
      </c>
      <c r="N147" t="s">
        <v>20</v>
      </c>
      <c r="O147" s="8">
        <v>53.708399999999997</v>
      </c>
      <c r="P147" s="8">
        <v>-132.959</v>
      </c>
    </row>
    <row r="148" spans="1:16">
      <c r="A148">
        <v>2013</v>
      </c>
      <c r="B148">
        <v>15</v>
      </c>
      <c r="C148">
        <v>250464</v>
      </c>
      <c r="D148">
        <v>14065</v>
      </c>
      <c r="E148">
        <v>12</v>
      </c>
      <c r="F148">
        <v>1.32</v>
      </c>
      <c r="G148" t="s">
        <v>0</v>
      </c>
      <c r="H148">
        <v>80.2</v>
      </c>
      <c r="I148">
        <v>79.3</v>
      </c>
      <c r="J148">
        <v>77</v>
      </c>
      <c r="K148">
        <v>81</v>
      </c>
      <c r="L148">
        <v>0</v>
      </c>
      <c r="M148">
        <v>2</v>
      </c>
      <c r="N148" t="s">
        <v>20</v>
      </c>
      <c r="O148" s="8">
        <v>53.708399999999997</v>
      </c>
      <c r="P148" s="8">
        <v>-132.959</v>
      </c>
    </row>
    <row r="149" spans="1:16">
      <c r="A149">
        <v>1940</v>
      </c>
      <c r="B149">
        <v>0</v>
      </c>
      <c r="C149">
        <v>0</v>
      </c>
      <c r="D149">
        <v>0</v>
      </c>
      <c r="E149">
        <v>0</v>
      </c>
      <c r="F149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>
        <v>0</v>
      </c>
      <c r="M149">
        <v>3</v>
      </c>
      <c r="N149" t="s">
        <v>21</v>
      </c>
      <c r="O149" s="8">
        <v>53.31</v>
      </c>
      <c r="P149" s="7">
        <v>-132.43299999999999</v>
      </c>
    </row>
    <row r="150" spans="1:16">
      <c r="A150">
        <v>1941</v>
      </c>
      <c r="B150">
        <v>0</v>
      </c>
      <c r="C150">
        <v>0</v>
      </c>
      <c r="D150">
        <v>0</v>
      </c>
      <c r="E150">
        <v>0</v>
      </c>
      <c r="F150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>
        <v>0</v>
      </c>
      <c r="M150">
        <v>3</v>
      </c>
      <c r="N150" t="s">
        <v>21</v>
      </c>
      <c r="O150" s="8">
        <v>53.31</v>
      </c>
      <c r="P150" s="7">
        <v>-132.43299999999999</v>
      </c>
    </row>
    <row r="151" spans="1:16">
      <c r="A151">
        <v>1942</v>
      </c>
      <c r="B151">
        <v>0</v>
      </c>
      <c r="C151">
        <v>0</v>
      </c>
      <c r="D151">
        <v>0</v>
      </c>
      <c r="E151">
        <v>0</v>
      </c>
      <c r="F151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>
        <v>0</v>
      </c>
      <c r="M151">
        <v>3</v>
      </c>
      <c r="N151" t="s">
        <v>21</v>
      </c>
      <c r="O151" s="8">
        <v>53.31</v>
      </c>
      <c r="P151" s="7">
        <v>-132.43299999999999</v>
      </c>
    </row>
    <row r="152" spans="1:16">
      <c r="A152">
        <v>1943</v>
      </c>
      <c r="B152">
        <v>0</v>
      </c>
      <c r="C152">
        <v>0</v>
      </c>
      <c r="D152">
        <v>0</v>
      </c>
      <c r="E152">
        <v>0</v>
      </c>
      <c r="F152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>
        <v>0</v>
      </c>
      <c r="M152">
        <v>3</v>
      </c>
      <c r="N152" t="s">
        <v>21</v>
      </c>
      <c r="O152" s="8">
        <v>53.31</v>
      </c>
      <c r="P152" s="7">
        <v>-132.43299999999999</v>
      </c>
    </row>
    <row r="153" spans="1:16">
      <c r="A153">
        <v>1944</v>
      </c>
      <c r="B153">
        <v>0</v>
      </c>
      <c r="C153">
        <v>0</v>
      </c>
      <c r="D153">
        <v>0</v>
      </c>
      <c r="E153">
        <v>0</v>
      </c>
      <c r="F153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>
        <v>0</v>
      </c>
      <c r="M153">
        <v>3</v>
      </c>
      <c r="N153" t="s">
        <v>21</v>
      </c>
      <c r="O153" s="8">
        <v>53.31</v>
      </c>
      <c r="P153" s="7">
        <v>-132.43299999999999</v>
      </c>
    </row>
    <row r="154" spans="1:16">
      <c r="A154">
        <v>1945</v>
      </c>
      <c r="B154">
        <v>0</v>
      </c>
      <c r="C154">
        <v>0</v>
      </c>
      <c r="D154">
        <v>0</v>
      </c>
      <c r="E154">
        <v>0</v>
      </c>
      <c r="F154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>
        <v>0</v>
      </c>
      <c r="M154">
        <v>3</v>
      </c>
      <c r="N154" t="s">
        <v>21</v>
      </c>
      <c r="O154" s="8">
        <v>53.31</v>
      </c>
      <c r="P154" s="7">
        <v>-132.43299999999999</v>
      </c>
    </row>
    <row r="155" spans="1:16">
      <c r="A155">
        <v>1946</v>
      </c>
      <c r="B155">
        <v>0</v>
      </c>
      <c r="C155">
        <v>0</v>
      </c>
      <c r="D155">
        <v>0</v>
      </c>
      <c r="E155">
        <v>0</v>
      </c>
      <c r="F155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>
        <v>0</v>
      </c>
      <c r="M155">
        <v>3</v>
      </c>
      <c r="N155" t="s">
        <v>21</v>
      </c>
      <c r="O155" s="8">
        <v>53.31</v>
      </c>
      <c r="P155" s="7">
        <v>-132.43299999999999</v>
      </c>
    </row>
    <row r="156" spans="1:16">
      <c r="A156">
        <v>1947</v>
      </c>
      <c r="B156">
        <v>0</v>
      </c>
      <c r="C156">
        <v>0</v>
      </c>
      <c r="D156">
        <v>0</v>
      </c>
      <c r="E156">
        <v>0</v>
      </c>
      <c r="F156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>
        <v>0</v>
      </c>
      <c r="M156">
        <v>3</v>
      </c>
      <c r="N156" t="s">
        <v>21</v>
      </c>
      <c r="O156" s="8">
        <v>53.31</v>
      </c>
      <c r="P156" s="7">
        <v>-132.43299999999999</v>
      </c>
    </row>
    <row r="157" spans="1:16">
      <c r="A157">
        <v>1948</v>
      </c>
      <c r="B157">
        <v>0</v>
      </c>
      <c r="C157">
        <v>0</v>
      </c>
      <c r="D157">
        <v>0</v>
      </c>
      <c r="E157">
        <v>0</v>
      </c>
      <c r="F157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>
        <v>0</v>
      </c>
      <c r="M157">
        <v>3</v>
      </c>
      <c r="N157" t="s">
        <v>21</v>
      </c>
      <c r="O157" s="8">
        <v>53.31</v>
      </c>
      <c r="P157" s="7">
        <v>-132.43299999999999</v>
      </c>
    </row>
    <row r="158" spans="1:16">
      <c r="A158">
        <v>1949</v>
      </c>
      <c r="B158">
        <v>0</v>
      </c>
      <c r="C158">
        <v>0</v>
      </c>
      <c r="D158">
        <v>0</v>
      </c>
      <c r="E158">
        <v>0</v>
      </c>
      <c r="F158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>
        <v>0</v>
      </c>
      <c r="M158">
        <v>3</v>
      </c>
      <c r="N158" t="s">
        <v>21</v>
      </c>
      <c r="O158" s="8">
        <v>53.31</v>
      </c>
      <c r="P158" s="7">
        <v>-132.43299999999999</v>
      </c>
    </row>
    <row r="159" spans="1:16">
      <c r="A159">
        <v>1950</v>
      </c>
      <c r="B159">
        <v>0</v>
      </c>
      <c r="C159">
        <v>0</v>
      </c>
      <c r="D159">
        <v>0</v>
      </c>
      <c r="E159">
        <v>0</v>
      </c>
      <c r="F159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>
        <v>0</v>
      </c>
      <c r="M159">
        <v>3</v>
      </c>
      <c r="N159" t="s">
        <v>21</v>
      </c>
      <c r="O159" s="8">
        <v>53.31</v>
      </c>
      <c r="P159" s="7">
        <v>-132.43299999999999</v>
      </c>
    </row>
    <row r="160" spans="1:16">
      <c r="A160">
        <v>1951</v>
      </c>
      <c r="B160">
        <v>0</v>
      </c>
      <c r="C160">
        <v>0</v>
      </c>
      <c r="D160">
        <v>0</v>
      </c>
      <c r="E160">
        <v>0</v>
      </c>
      <c r="F160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>
        <v>0</v>
      </c>
      <c r="M160">
        <v>3</v>
      </c>
      <c r="N160" t="s">
        <v>21</v>
      </c>
      <c r="O160" s="8">
        <v>53.31</v>
      </c>
      <c r="P160" s="7">
        <v>-132.43299999999999</v>
      </c>
    </row>
    <row r="161" spans="1:16">
      <c r="A161">
        <v>1952</v>
      </c>
      <c r="B161">
        <v>0</v>
      </c>
      <c r="C161">
        <v>0</v>
      </c>
      <c r="D161">
        <v>0</v>
      </c>
      <c r="E161">
        <v>0</v>
      </c>
      <c r="F161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>
        <v>0</v>
      </c>
      <c r="M161">
        <v>3</v>
      </c>
      <c r="N161" t="s">
        <v>21</v>
      </c>
      <c r="O161" s="8">
        <v>53.31</v>
      </c>
      <c r="P161" s="7">
        <v>-132.43299999999999</v>
      </c>
    </row>
    <row r="162" spans="1:16">
      <c r="A162">
        <v>1953</v>
      </c>
      <c r="B162">
        <v>2</v>
      </c>
      <c r="C162">
        <v>26109</v>
      </c>
      <c r="D162">
        <v>2084</v>
      </c>
      <c r="E162">
        <v>23</v>
      </c>
      <c r="F162">
        <v>2.96</v>
      </c>
      <c r="G162">
        <v>7.5</v>
      </c>
      <c r="H162">
        <v>101</v>
      </c>
      <c r="I162">
        <v>101</v>
      </c>
      <c r="J162">
        <v>101</v>
      </c>
      <c r="K162">
        <v>101</v>
      </c>
      <c r="L162">
        <v>0</v>
      </c>
      <c r="M162">
        <v>3</v>
      </c>
      <c r="N162" t="s">
        <v>21</v>
      </c>
      <c r="O162" s="8">
        <v>53.31</v>
      </c>
      <c r="P162" s="7">
        <v>-132.43299999999999</v>
      </c>
    </row>
    <row r="163" spans="1:16">
      <c r="A163">
        <v>1954</v>
      </c>
      <c r="B163">
        <v>0</v>
      </c>
      <c r="C163">
        <v>0</v>
      </c>
      <c r="D163">
        <v>0</v>
      </c>
      <c r="E163">
        <v>0</v>
      </c>
      <c r="F163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>
        <v>0</v>
      </c>
      <c r="M163">
        <v>3</v>
      </c>
      <c r="N163" t="s">
        <v>21</v>
      </c>
      <c r="O163" s="8">
        <v>53.31</v>
      </c>
      <c r="P163" s="7">
        <v>-132.43299999999999</v>
      </c>
    </row>
    <row r="164" spans="1:16">
      <c r="A164">
        <v>1955</v>
      </c>
      <c r="B164">
        <v>0</v>
      </c>
      <c r="C164">
        <v>0</v>
      </c>
      <c r="D164">
        <v>0</v>
      </c>
      <c r="E164">
        <v>0</v>
      </c>
      <c r="F164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>
        <v>0</v>
      </c>
      <c r="M164">
        <v>3</v>
      </c>
      <c r="N164" t="s">
        <v>21</v>
      </c>
      <c r="O164" s="8">
        <v>53.31</v>
      </c>
      <c r="P164" s="7">
        <v>-132.43299999999999</v>
      </c>
    </row>
    <row r="165" spans="1:16">
      <c r="A165">
        <v>1956</v>
      </c>
      <c r="B165">
        <v>0</v>
      </c>
      <c r="C165">
        <v>0</v>
      </c>
      <c r="D165">
        <v>0</v>
      </c>
      <c r="E165">
        <v>0</v>
      </c>
      <c r="F165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>
        <v>0</v>
      </c>
      <c r="M165">
        <v>3</v>
      </c>
      <c r="N165" t="s">
        <v>21</v>
      </c>
      <c r="O165" s="8">
        <v>53.31</v>
      </c>
      <c r="P165" s="7">
        <v>-132.43299999999999</v>
      </c>
    </row>
    <row r="166" spans="1:16">
      <c r="A166">
        <v>1957</v>
      </c>
      <c r="B166">
        <v>1</v>
      </c>
      <c r="C166">
        <v>1317</v>
      </c>
      <c r="D166">
        <v>183</v>
      </c>
      <c r="E166">
        <v>5</v>
      </c>
      <c r="F166">
        <v>1.34</v>
      </c>
      <c r="G166" t="s">
        <v>0</v>
      </c>
      <c r="H166">
        <v>91</v>
      </c>
      <c r="I166">
        <v>91</v>
      </c>
      <c r="J166">
        <v>91</v>
      </c>
      <c r="K166">
        <v>91</v>
      </c>
      <c r="L166">
        <v>0</v>
      </c>
      <c r="M166">
        <v>3</v>
      </c>
      <c r="N166" t="s">
        <v>21</v>
      </c>
      <c r="O166" s="8">
        <v>53.31</v>
      </c>
      <c r="P166" s="7">
        <v>-132.43299999999999</v>
      </c>
    </row>
    <row r="167" spans="1:16">
      <c r="A167">
        <v>1958</v>
      </c>
      <c r="B167">
        <v>1</v>
      </c>
      <c r="C167">
        <v>8075</v>
      </c>
      <c r="D167">
        <v>804</v>
      </c>
      <c r="E167">
        <v>5</v>
      </c>
      <c r="F167">
        <v>2.15</v>
      </c>
      <c r="G167">
        <v>7.8</v>
      </c>
      <c r="H167">
        <v>91</v>
      </c>
      <c r="I167">
        <v>91</v>
      </c>
      <c r="J167">
        <v>91</v>
      </c>
      <c r="K167">
        <v>91</v>
      </c>
      <c r="L167">
        <v>0</v>
      </c>
      <c r="M167">
        <v>3</v>
      </c>
      <c r="N167" t="s">
        <v>21</v>
      </c>
      <c r="O167" s="8">
        <v>53.31</v>
      </c>
      <c r="P167" s="7">
        <v>-132.43299999999999</v>
      </c>
    </row>
    <row r="168" spans="1:16">
      <c r="A168">
        <v>1959</v>
      </c>
      <c r="B168">
        <v>3</v>
      </c>
      <c r="C168">
        <v>49566</v>
      </c>
      <c r="D168">
        <v>4935</v>
      </c>
      <c r="E168">
        <v>6</v>
      </c>
      <c r="F168">
        <v>2.96</v>
      </c>
      <c r="G168" t="s">
        <v>0</v>
      </c>
      <c r="H168">
        <v>84</v>
      </c>
      <c r="I168">
        <v>84</v>
      </c>
      <c r="J168">
        <v>84</v>
      </c>
      <c r="K168">
        <v>84</v>
      </c>
      <c r="L168">
        <v>0</v>
      </c>
      <c r="M168">
        <v>3</v>
      </c>
      <c r="N168" t="s">
        <v>21</v>
      </c>
      <c r="O168" s="8">
        <v>53.31</v>
      </c>
      <c r="P168" s="7">
        <v>-132.43299999999999</v>
      </c>
    </row>
    <row r="169" spans="1:16">
      <c r="A169">
        <v>1960</v>
      </c>
      <c r="B169">
        <v>2</v>
      </c>
      <c r="C169">
        <v>37634</v>
      </c>
      <c r="D169">
        <v>3747</v>
      </c>
      <c r="E169">
        <v>11</v>
      </c>
      <c r="F169">
        <v>3.55</v>
      </c>
      <c r="G169">
        <v>6.3</v>
      </c>
      <c r="H169">
        <v>88</v>
      </c>
      <c r="I169">
        <v>88.2</v>
      </c>
      <c r="J169">
        <v>86</v>
      </c>
      <c r="K169">
        <v>90</v>
      </c>
      <c r="L169">
        <v>0</v>
      </c>
      <c r="M169">
        <v>3</v>
      </c>
      <c r="N169" t="s">
        <v>21</v>
      </c>
      <c r="O169" s="8">
        <v>53.31</v>
      </c>
      <c r="P169" s="7">
        <v>-132.43299999999999</v>
      </c>
    </row>
    <row r="170" spans="1:16">
      <c r="A170">
        <v>1961</v>
      </c>
      <c r="B170">
        <v>2</v>
      </c>
      <c r="C170">
        <v>20650</v>
      </c>
      <c r="D170">
        <v>2056</v>
      </c>
      <c r="E170">
        <v>11</v>
      </c>
      <c r="F170">
        <v>2.15</v>
      </c>
      <c r="G170">
        <v>7.4</v>
      </c>
      <c r="H170">
        <v>87</v>
      </c>
      <c r="I170">
        <v>87</v>
      </c>
      <c r="J170">
        <v>87</v>
      </c>
      <c r="K170">
        <v>87</v>
      </c>
      <c r="L170">
        <v>0</v>
      </c>
      <c r="M170">
        <v>3</v>
      </c>
      <c r="N170" t="s">
        <v>21</v>
      </c>
      <c r="O170" s="8">
        <v>53.31</v>
      </c>
      <c r="P170" s="7">
        <v>-132.43299999999999</v>
      </c>
    </row>
    <row r="171" spans="1:16">
      <c r="A171">
        <v>1962</v>
      </c>
      <c r="B171">
        <v>2</v>
      </c>
      <c r="C171">
        <v>66098</v>
      </c>
      <c r="D171">
        <v>6581</v>
      </c>
      <c r="E171">
        <v>14</v>
      </c>
      <c r="F171">
        <v>1.34</v>
      </c>
      <c r="G171" t="s">
        <v>0</v>
      </c>
      <c r="H171">
        <v>81</v>
      </c>
      <c r="I171">
        <v>81</v>
      </c>
      <c r="J171">
        <v>81</v>
      </c>
      <c r="K171">
        <v>81</v>
      </c>
      <c r="L171">
        <v>0</v>
      </c>
      <c r="M171">
        <v>3</v>
      </c>
      <c r="N171" t="s">
        <v>21</v>
      </c>
      <c r="O171" s="8">
        <v>53.31</v>
      </c>
      <c r="P171" s="7">
        <v>-132.43299999999999</v>
      </c>
    </row>
    <row r="172" spans="1:16">
      <c r="A172">
        <v>1963</v>
      </c>
      <c r="B172">
        <v>0</v>
      </c>
      <c r="C172">
        <v>0</v>
      </c>
      <c r="D172">
        <v>0</v>
      </c>
      <c r="E172">
        <v>0</v>
      </c>
      <c r="F172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>
        <v>0</v>
      </c>
      <c r="M172">
        <v>3</v>
      </c>
      <c r="N172" t="s">
        <v>21</v>
      </c>
      <c r="O172" s="8">
        <v>53.31</v>
      </c>
      <c r="P172" s="7">
        <v>-132.43299999999999</v>
      </c>
    </row>
    <row r="173" spans="1:16">
      <c r="A173">
        <v>1964</v>
      </c>
      <c r="B173">
        <v>2</v>
      </c>
      <c r="C173">
        <v>22307</v>
      </c>
      <c r="D173">
        <v>2221</v>
      </c>
      <c r="E173">
        <v>12</v>
      </c>
      <c r="F173">
        <v>2.15</v>
      </c>
      <c r="G173">
        <v>5.8</v>
      </c>
      <c r="H173">
        <v>86.5</v>
      </c>
      <c r="I173">
        <v>85.2</v>
      </c>
      <c r="J173">
        <v>85</v>
      </c>
      <c r="K173">
        <v>88</v>
      </c>
      <c r="L173">
        <v>0</v>
      </c>
      <c r="M173">
        <v>3</v>
      </c>
      <c r="N173" t="s">
        <v>21</v>
      </c>
      <c r="O173" s="8">
        <v>53.31</v>
      </c>
      <c r="P173" s="7">
        <v>-132.43299999999999</v>
      </c>
    </row>
    <row r="174" spans="1:16">
      <c r="A174">
        <v>1965</v>
      </c>
      <c r="B174">
        <v>1</v>
      </c>
      <c r="C174">
        <v>6576</v>
      </c>
      <c r="D174">
        <v>914</v>
      </c>
      <c r="E174">
        <v>9</v>
      </c>
      <c r="F174">
        <v>2.96</v>
      </c>
      <c r="G174">
        <v>6.3</v>
      </c>
      <c r="H174">
        <v>80</v>
      </c>
      <c r="I174">
        <v>80</v>
      </c>
      <c r="J174">
        <v>80</v>
      </c>
      <c r="K174">
        <v>80</v>
      </c>
      <c r="L174">
        <v>0</v>
      </c>
      <c r="M174">
        <v>3</v>
      </c>
      <c r="N174" t="s">
        <v>21</v>
      </c>
      <c r="O174" s="8">
        <v>53.31</v>
      </c>
      <c r="P174" s="7">
        <v>-132.43299999999999</v>
      </c>
    </row>
    <row r="175" spans="1:16">
      <c r="A175">
        <v>1966</v>
      </c>
      <c r="B175">
        <v>2</v>
      </c>
      <c r="C175">
        <v>1376</v>
      </c>
      <c r="D175">
        <v>137</v>
      </c>
      <c r="E175">
        <v>4</v>
      </c>
      <c r="F175">
        <v>0.55000000000000004</v>
      </c>
      <c r="G175">
        <v>6.8</v>
      </c>
      <c r="H175">
        <v>91</v>
      </c>
      <c r="I175">
        <v>91</v>
      </c>
      <c r="J175">
        <v>91</v>
      </c>
      <c r="K175">
        <v>91</v>
      </c>
      <c r="L175">
        <v>0</v>
      </c>
      <c r="M175">
        <v>3</v>
      </c>
      <c r="N175" t="s">
        <v>21</v>
      </c>
      <c r="O175" s="8">
        <v>53.31</v>
      </c>
      <c r="P175" s="7">
        <v>-132.43299999999999</v>
      </c>
    </row>
    <row r="176" spans="1:16">
      <c r="A176">
        <v>1967</v>
      </c>
      <c r="B176">
        <v>0</v>
      </c>
      <c r="C176">
        <v>0</v>
      </c>
      <c r="D176">
        <v>0</v>
      </c>
      <c r="E176">
        <v>0</v>
      </c>
      <c r="F176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>
        <v>0</v>
      </c>
      <c r="M176">
        <v>3</v>
      </c>
      <c r="N176" t="s">
        <v>21</v>
      </c>
      <c r="O176" s="8">
        <v>53.31</v>
      </c>
      <c r="P176" s="7">
        <v>-132.43299999999999</v>
      </c>
    </row>
    <row r="177" spans="1:16">
      <c r="A177">
        <v>1968</v>
      </c>
      <c r="B177">
        <v>3</v>
      </c>
      <c r="C177">
        <v>4600</v>
      </c>
      <c r="D177">
        <v>458</v>
      </c>
      <c r="E177">
        <v>6</v>
      </c>
      <c r="F177">
        <v>1.34</v>
      </c>
      <c r="G177">
        <v>6.4</v>
      </c>
      <c r="H177">
        <v>105</v>
      </c>
      <c r="I177">
        <v>105</v>
      </c>
      <c r="J177">
        <v>105</v>
      </c>
      <c r="K177">
        <v>105</v>
      </c>
      <c r="L177">
        <v>0</v>
      </c>
      <c r="M177">
        <v>3</v>
      </c>
      <c r="N177" t="s">
        <v>21</v>
      </c>
      <c r="O177" s="8">
        <v>53.31</v>
      </c>
      <c r="P177" s="7">
        <v>-132.43299999999999</v>
      </c>
    </row>
    <row r="178" spans="1:16">
      <c r="A178">
        <v>1969</v>
      </c>
      <c r="B178">
        <v>1</v>
      </c>
      <c r="C178">
        <v>8266</v>
      </c>
      <c r="D178">
        <v>823</v>
      </c>
      <c r="E178">
        <v>27</v>
      </c>
      <c r="F178">
        <v>2.96</v>
      </c>
      <c r="G178">
        <v>6.4</v>
      </c>
      <c r="H178">
        <v>98</v>
      </c>
      <c r="I178">
        <v>98</v>
      </c>
      <c r="J178">
        <v>98</v>
      </c>
      <c r="K178">
        <v>98</v>
      </c>
      <c r="L178">
        <v>0</v>
      </c>
      <c r="M178">
        <v>3</v>
      </c>
      <c r="N178" t="s">
        <v>21</v>
      </c>
      <c r="O178" s="8">
        <v>53.31</v>
      </c>
      <c r="P178" s="7">
        <v>-132.43299999999999</v>
      </c>
    </row>
    <row r="179" spans="1:16">
      <c r="A179">
        <v>1970</v>
      </c>
      <c r="B179">
        <v>3</v>
      </c>
      <c r="C179">
        <v>15598</v>
      </c>
      <c r="D179">
        <v>1553</v>
      </c>
      <c r="E179">
        <v>8</v>
      </c>
      <c r="F179">
        <v>1.34</v>
      </c>
      <c r="G179">
        <v>7.6</v>
      </c>
      <c r="H179">
        <v>92</v>
      </c>
      <c r="I179">
        <v>92</v>
      </c>
      <c r="J179">
        <v>92</v>
      </c>
      <c r="K179">
        <v>92</v>
      </c>
      <c r="L179">
        <v>0</v>
      </c>
      <c r="M179">
        <v>3</v>
      </c>
      <c r="N179" t="s">
        <v>21</v>
      </c>
      <c r="O179" s="8">
        <v>53.31</v>
      </c>
      <c r="P179" s="7">
        <v>-132.43299999999999</v>
      </c>
    </row>
    <row r="180" spans="1:16">
      <c r="A180">
        <v>1971</v>
      </c>
      <c r="B180">
        <v>6</v>
      </c>
      <c r="C180">
        <v>33506</v>
      </c>
      <c r="D180">
        <v>3336</v>
      </c>
      <c r="E180">
        <v>19</v>
      </c>
      <c r="F180">
        <v>1.88</v>
      </c>
      <c r="G180">
        <v>6.7</v>
      </c>
      <c r="H180">
        <v>104.8</v>
      </c>
      <c r="I180">
        <v>104.6</v>
      </c>
      <c r="J180">
        <v>104</v>
      </c>
      <c r="K180">
        <v>105</v>
      </c>
      <c r="L180">
        <v>0</v>
      </c>
      <c r="M180">
        <v>3</v>
      </c>
      <c r="N180" t="s">
        <v>21</v>
      </c>
      <c r="O180" s="8">
        <v>53.31</v>
      </c>
      <c r="P180" s="7">
        <v>-132.43299999999999</v>
      </c>
    </row>
    <row r="181" spans="1:16">
      <c r="A181">
        <v>1972</v>
      </c>
      <c r="B181">
        <v>5</v>
      </c>
      <c r="C181">
        <v>20660</v>
      </c>
      <c r="D181">
        <v>2057</v>
      </c>
      <c r="E181">
        <v>8</v>
      </c>
      <c r="F181">
        <v>1.51</v>
      </c>
      <c r="G181">
        <v>4.8</v>
      </c>
      <c r="H181">
        <v>112</v>
      </c>
      <c r="I181">
        <v>112</v>
      </c>
      <c r="J181">
        <v>112</v>
      </c>
      <c r="K181">
        <v>112</v>
      </c>
      <c r="L181">
        <v>0</v>
      </c>
      <c r="M181">
        <v>3</v>
      </c>
      <c r="N181" t="s">
        <v>21</v>
      </c>
      <c r="O181" s="8">
        <v>53.31</v>
      </c>
      <c r="P181" s="7">
        <v>-132.43299999999999</v>
      </c>
    </row>
    <row r="182" spans="1:16">
      <c r="A182">
        <v>1973</v>
      </c>
      <c r="B182">
        <v>4</v>
      </c>
      <c r="C182">
        <v>44062</v>
      </c>
      <c r="D182">
        <v>4387</v>
      </c>
      <c r="E182">
        <v>15</v>
      </c>
      <c r="F182">
        <v>2.85</v>
      </c>
      <c r="G182">
        <v>6.9</v>
      </c>
      <c r="H182">
        <v>96.8</v>
      </c>
      <c r="I182">
        <v>96.9</v>
      </c>
      <c r="J182">
        <v>96</v>
      </c>
      <c r="K182">
        <v>97</v>
      </c>
      <c r="L182">
        <v>0</v>
      </c>
      <c r="M182">
        <v>3</v>
      </c>
      <c r="N182" t="s">
        <v>21</v>
      </c>
      <c r="O182" s="8">
        <v>53.31</v>
      </c>
      <c r="P182" s="7">
        <v>-132.43299999999999</v>
      </c>
    </row>
    <row r="183" spans="1:16">
      <c r="A183">
        <v>1974</v>
      </c>
      <c r="B183">
        <v>4</v>
      </c>
      <c r="C183">
        <v>24778</v>
      </c>
      <c r="D183">
        <v>2467</v>
      </c>
      <c r="E183">
        <v>18</v>
      </c>
      <c r="F183">
        <v>3.25</v>
      </c>
      <c r="G183">
        <v>6.7</v>
      </c>
      <c r="H183">
        <v>92</v>
      </c>
      <c r="I183">
        <v>92</v>
      </c>
      <c r="J183">
        <v>92</v>
      </c>
      <c r="K183">
        <v>92</v>
      </c>
      <c r="L183">
        <v>0</v>
      </c>
      <c r="M183">
        <v>3</v>
      </c>
      <c r="N183" t="s">
        <v>21</v>
      </c>
      <c r="O183" s="8">
        <v>53.31</v>
      </c>
      <c r="P183" s="7">
        <v>-132.43299999999999</v>
      </c>
    </row>
    <row r="184" spans="1:16">
      <c r="A184">
        <v>1975</v>
      </c>
      <c r="B184">
        <v>3</v>
      </c>
      <c r="C184">
        <v>29145</v>
      </c>
      <c r="D184">
        <v>3327</v>
      </c>
      <c r="E184">
        <v>6</v>
      </c>
      <c r="F184">
        <v>2.42</v>
      </c>
      <c r="G184">
        <v>6.6</v>
      </c>
      <c r="H184">
        <v>103.3</v>
      </c>
      <c r="I184">
        <v>104.5</v>
      </c>
      <c r="J184">
        <v>102</v>
      </c>
      <c r="K184">
        <v>106</v>
      </c>
      <c r="L184">
        <v>0</v>
      </c>
      <c r="M184">
        <v>3</v>
      </c>
      <c r="N184" t="s">
        <v>21</v>
      </c>
      <c r="O184" s="8">
        <v>53.31</v>
      </c>
      <c r="P184" s="7">
        <v>-132.43299999999999</v>
      </c>
    </row>
    <row r="185" spans="1:16">
      <c r="A185">
        <v>1976</v>
      </c>
      <c r="B185">
        <v>9</v>
      </c>
      <c r="C185">
        <v>12947</v>
      </c>
      <c r="D185">
        <v>1691</v>
      </c>
      <c r="E185">
        <v>6</v>
      </c>
      <c r="F185">
        <v>2.5099999999999998</v>
      </c>
      <c r="G185">
        <v>6.4</v>
      </c>
      <c r="H185">
        <v>102.1</v>
      </c>
      <c r="I185">
        <v>102.2</v>
      </c>
      <c r="J185">
        <v>102</v>
      </c>
      <c r="K185">
        <v>103</v>
      </c>
      <c r="L185">
        <v>0</v>
      </c>
      <c r="M185">
        <v>3</v>
      </c>
      <c r="N185" t="s">
        <v>21</v>
      </c>
      <c r="O185" s="8">
        <v>53.31</v>
      </c>
      <c r="P185" s="7">
        <v>-132.43299999999999</v>
      </c>
    </row>
    <row r="186" spans="1:16">
      <c r="A186">
        <v>1977</v>
      </c>
      <c r="B186">
        <v>7</v>
      </c>
      <c r="C186">
        <v>27300</v>
      </c>
      <c r="D186">
        <v>3016</v>
      </c>
      <c r="E186">
        <v>5</v>
      </c>
      <c r="F186">
        <v>2.29</v>
      </c>
      <c r="G186">
        <v>7.3</v>
      </c>
      <c r="H186">
        <v>96.1</v>
      </c>
      <c r="I186">
        <v>95.6</v>
      </c>
      <c r="J186">
        <v>95</v>
      </c>
      <c r="K186">
        <v>97</v>
      </c>
      <c r="L186">
        <v>0</v>
      </c>
      <c r="M186">
        <v>3</v>
      </c>
      <c r="N186" t="s">
        <v>21</v>
      </c>
      <c r="O186" s="8">
        <v>53.31</v>
      </c>
      <c r="P186" s="7">
        <v>-132.43299999999999</v>
      </c>
    </row>
    <row r="187" spans="1:16">
      <c r="A187">
        <v>1978</v>
      </c>
      <c r="B187">
        <v>14</v>
      </c>
      <c r="C187">
        <v>71301</v>
      </c>
      <c r="D187">
        <v>8499</v>
      </c>
      <c r="E187">
        <v>4</v>
      </c>
      <c r="F187">
        <v>2.36</v>
      </c>
      <c r="G187">
        <v>7.5</v>
      </c>
      <c r="H187">
        <v>97.9</v>
      </c>
      <c r="I187">
        <v>97</v>
      </c>
      <c r="J187">
        <v>95</v>
      </c>
      <c r="K187">
        <v>99</v>
      </c>
      <c r="L187">
        <v>0</v>
      </c>
      <c r="M187">
        <v>3</v>
      </c>
      <c r="N187" t="s">
        <v>21</v>
      </c>
      <c r="O187" s="8">
        <v>53.31</v>
      </c>
      <c r="P187" s="7">
        <v>-132.43299999999999</v>
      </c>
    </row>
    <row r="188" spans="1:16">
      <c r="A188">
        <v>1979</v>
      </c>
      <c r="B188">
        <v>13</v>
      </c>
      <c r="C188">
        <v>21059</v>
      </c>
      <c r="D188">
        <v>2120</v>
      </c>
      <c r="E188">
        <v>17</v>
      </c>
      <c r="F188">
        <v>1.54</v>
      </c>
      <c r="G188">
        <v>7.8</v>
      </c>
      <c r="H188">
        <v>103.6</v>
      </c>
      <c r="I188">
        <v>104.8</v>
      </c>
      <c r="J188">
        <v>99</v>
      </c>
      <c r="K188">
        <v>105</v>
      </c>
      <c r="L188">
        <v>0</v>
      </c>
      <c r="M188">
        <v>3</v>
      </c>
      <c r="N188" t="s">
        <v>21</v>
      </c>
      <c r="O188" s="8">
        <v>53.31</v>
      </c>
      <c r="P188" s="7">
        <v>-132.43299999999999</v>
      </c>
    </row>
    <row r="189" spans="1:16">
      <c r="A189">
        <v>1980</v>
      </c>
      <c r="B189">
        <v>18</v>
      </c>
      <c r="C189">
        <v>89921</v>
      </c>
      <c r="D189">
        <v>7989</v>
      </c>
      <c r="E189">
        <v>6</v>
      </c>
      <c r="F189">
        <v>1.0900000000000001</v>
      </c>
      <c r="G189">
        <v>7.4</v>
      </c>
      <c r="H189">
        <v>100.8</v>
      </c>
      <c r="I189">
        <v>95.5</v>
      </c>
      <c r="J189">
        <v>90</v>
      </c>
      <c r="K189">
        <v>111</v>
      </c>
      <c r="L189">
        <v>0</v>
      </c>
      <c r="M189">
        <v>3</v>
      </c>
      <c r="N189" t="s">
        <v>21</v>
      </c>
      <c r="O189" s="8">
        <v>53.31</v>
      </c>
      <c r="P189" s="7">
        <v>-132.43299999999999</v>
      </c>
    </row>
    <row r="190" spans="1:16">
      <c r="A190">
        <v>1981</v>
      </c>
      <c r="B190">
        <v>16</v>
      </c>
      <c r="C190">
        <v>73099</v>
      </c>
      <c r="D190">
        <v>8966</v>
      </c>
      <c r="E190">
        <v>9</v>
      </c>
      <c r="F190">
        <v>0.66</v>
      </c>
      <c r="G190">
        <v>7.5</v>
      </c>
      <c r="H190">
        <v>93.3</v>
      </c>
      <c r="I190">
        <v>93.4</v>
      </c>
      <c r="J190">
        <v>93</v>
      </c>
      <c r="K190">
        <v>94</v>
      </c>
      <c r="L190">
        <v>0</v>
      </c>
      <c r="M190">
        <v>3</v>
      </c>
      <c r="N190" t="s">
        <v>21</v>
      </c>
      <c r="O190" s="8">
        <v>53.31</v>
      </c>
      <c r="P190" s="7">
        <v>-132.43299999999999</v>
      </c>
    </row>
    <row r="191" spans="1:16">
      <c r="A191">
        <v>1982</v>
      </c>
      <c r="B191">
        <v>15</v>
      </c>
      <c r="C191">
        <v>101520</v>
      </c>
      <c r="D191">
        <v>11107</v>
      </c>
      <c r="E191">
        <v>12</v>
      </c>
      <c r="F191">
        <v>2.1800000000000002</v>
      </c>
      <c r="G191">
        <v>6.9</v>
      </c>
      <c r="H191">
        <v>94.9</v>
      </c>
      <c r="I191">
        <v>96.5</v>
      </c>
      <c r="J191">
        <v>78</v>
      </c>
      <c r="K191">
        <v>118</v>
      </c>
      <c r="L191">
        <v>0</v>
      </c>
      <c r="M191">
        <v>3</v>
      </c>
      <c r="N191" t="s">
        <v>21</v>
      </c>
      <c r="O191" s="8">
        <v>53.31</v>
      </c>
      <c r="P191" s="7">
        <v>-132.43299999999999</v>
      </c>
    </row>
    <row r="192" spans="1:16">
      <c r="A192">
        <v>1983</v>
      </c>
      <c r="B192">
        <v>17</v>
      </c>
      <c r="C192">
        <v>81711</v>
      </c>
      <c r="D192">
        <v>9100</v>
      </c>
      <c r="E192">
        <v>10</v>
      </c>
      <c r="F192">
        <v>3.59</v>
      </c>
      <c r="G192">
        <v>8.1999999999999993</v>
      </c>
      <c r="H192">
        <v>89.6</v>
      </c>
      <c r="I192">
        <v>88.9</v>
      </c>
      <c r="J192">
        <v>85</v>
      </c>
      <c r="K192">
        <v>98</v>
      </c>
      <c r="L192">
        <v>0</v>
      </c>
      <c r="M192">
        <v>3</v>
      </c>
      <c r="N192" t="s">
        <v>21</v>
      </c>
      <c r="O192" s="8">
        <v>53.31</v>
      </c>
      <c r="P192" s="7">
        <v>-132.43299999999999</v>
      </c>
    </row>
    <row r="193" spans="1:16">
      <c r="A193">
        <v>1984</v>
      </c>
      <c r="B193">
        <v>1</v>
      </c>
      <c r="C193">
        <v>50219</v>
      </c>
      <c r="D193">
        <v>5000</v>
      </c>
      <c r="E193">
        <v>5</v>
      </c>
      <c r="F193">
        <v>1.3</v>
      </c>
      <c r="G193">
        <v>7.8</v>
      </c>
      <c r="H193">
        <v>81</v>
      </c>
      <c r="I193">
        <v>81</v>
      </c>
      <c r="J193">
        <v>81</v>
      </c>
      <c r="K193">
        <v>81</v>
      </c>
      <c r="L193">
        <v>0</v>
      </c>
      <c r="M193">
        <v>3</v>
      </c>
      <c r="N193" t="s">
        <v>21</v>
      </c>
      <c r="O193" s="8">
        <v>53.31</v>
      </c>
      <c r="P193" s="7">
        <v>-132.43299999999999</v>
      </c>
    </row>
    <row r="194" spans="1:16">
      <c r="A194">
        <v>1985</v>
      </c>
      <c r="B194">
        <v>4</v>
      </c>
      <c r="C194">
        <v>38166</v>
      </c>
      <c r="D194">
        <v>3800</v>
      </c>
      <c r="E194">
        <v>10</v>
      </c>
      <c r="F194">
        <v>1.25</v>
      </c>
      <c r="G194">
        <v>7</v>
      </c>
      <c r="H194">
        <v>94</v>
      </c>
      <c r="I194">
        <v>94</v>
      </c>
      <c r="J194">
        <v>94</v>
      </c>
      <c r="K194">
        <v>94</v>
      </c>
      <c r="L194">
        <v>0</v>
      </c>
      <c r="M194">
        <v>3</v>
      </c>
      <c r="N194" t="s">
        <v>21</v>
      </c>
      <c r="O194" s="8">
        <v>53.31</v>
      </c>
      <c r="P194" s="7">
        <v>-132.43299999999999</v>
      </c>
    </row>
    <row r="195" spans="1:16">
      <c r="A195">
        <v>1986</v>
      </c>
      <c r="B195">
        <v>5</v>
      </c>
      <c r="C195">
        <v>19733</v>
      </c>
      <c r="D195">
        <v>1500</v>
      </c>
      <c r="E195">
        <v>9</v>
      </c>
      <c r="F195">
        <v>0.7</v>
      </c>
      <c r="G195">
        <v>7.2</v>
      </c>
      <c r="H195">
        <v>100</v>
      </c>
      <c r="I195">
        <v>102.4</v>
      </c>
      <c r="J195">
        <v>95</v>
      </c>
      <c r="K195">
        <v>106</v>
      </c>
      <c r="L195">
        <v>0</v>
      </c>
      <c r="M195">
        <v>3</v>
      </c>
      <c r="N195" t="s">
        <v>21</v>
      </c>
      <c r="O195" s="8">
        <v>53.31</v>
      </c>
      <c r="P195" s="7">
        <v>-132.43299999999999</v>
      </c>
    </row>
    <row r="196" spans="1:16">
      <c r="A196">
        <v>1987</v>
      </c>
      <c r="B196">
        <v>0</v>
      </c>
      <c r="C196">
        <v>0</v>
      </c>
      <c r="D196">
        <v>0</v>
      </c>
      <c r="E196">
        <v>0</v>
      </c>
      <c r="F196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>
        <v>0</v>
      </c>
      <c r="M196">
        <v>3</v>
      </c>
      <c r="N196" t="s">
        <v>21</v>
      </c>
      <c r="O196" s="8">
        <v>53.31</v>
      </c>
      <c r="P196" s="7">
        <v>-132.43299999999999</v>
      </c>
    </row>
    <row r="197" spans="1:16">
      <c r="A197">
        <v>1988</v>
      </c>
      <c r="B197">
        <v>7</v>
      </c>
      <c r="C197">
        <v>54236</v>
      </c>
      <c r="D197">
        <v>5400</v>
      </c>
      <c r="E197">
        <v>7</v>
      </c>
      <c r="F197">
        <v>1.57</v>
      </c>
      <c r="G197">
        <v>7.2</v>
      </c>
      <c r="H197">
        <v>104</v>
      </c>
      <c r="I197">
        <v>104</v>
      </c>
      <c r="J197">
        <v>104</v>
      </c>
      <c r="K197">
        <v>104</v>
      </c>
      <c r="L197">
        <v>0</v>
      </c>
      <c r="M197">
        <v>3</v>
      </c>
      <c r="N197" t="s">
        <v>21</v>
      </c>
      <c r="O197" s="8">
        <v>53.31</v>
      </c>
      <c r="P197" s="7">
        <v>-132.43299999999999</v>
      </c>
    </row>
    <row r="198" spans="1:16">
      <c r="A198">
        <v>1989</v>
      </c>
      <c r="B198">
        <v>21</v>
      </c>
      <c r="C198">
        <v>99174</v>
      </c>
      <c r="D198">
        <v>8225</v>
      </c>
      <c r="E198">
        <v>23</v>
      </c>
      <c r="F198">
        <v>2.46</v>
      </c>
      <c r="G198">
        <v>6.1</v>
      </c>
      <c r="H198">
        <v>89.8</v>
      </c>
      <c r="I198">
        <v>89</v>
      </c>
      <c r="J198">
        <v>77</v>
      </c>
      <c r="K198">
        <v>108</v>
      </c>
      <c r="L198">
        <v>0</v>
      </c>
      <c r="M198">
        <v>3</v>
      </c>
      <c r="N198" t="s">
        <v>21</v>
      </c>
      <c r="O198" s="8">
        <v>53.31</v>
      </c>
      <c r="P198" s="7">
        <v>-132.43299999999999</v>
      </c>
    </row>
    <row r="199" spans="1:16">
      <c r="A199">
        <v>1990</v>
      </c>
      <c r="B199">
        <v>3</v>
      </c>
      <c r="C199">
        <v>96119</v>
      </c>
      <c r="D199">
        <v>9570</v>
      </c>
      <c r="E199">
        <v>38</v>
      </c>
      <c r="F199">
        <v>1.79</v>
      </c>
      <c r="G199">
        <v>6.7</v>
      </c>
      <c r="H199">
        <v>83.3</v>
      </c>
      <c r="I199">
        <v>83.9</v>
      </c>
      <c r="J199">
        <v>82</v>
      </c>
      <c r="K199">
        <v>84</v>
      </c>
      <c r="L199">
        <v>95</v>
      </c>
      <c r="M199">
        <v>3</v>
      </c>
      <c r="N199" t="s">
        <v>21</v>
      </c>
      <c r="O199" s="8">
        <v>53.31</v>
      </c>
      <c r="P199" s="7">
        <v>-132.43299999999999</v>
      </c>
    </row>
    <row r="200" spans="1:16">
      <c r="A200">
        <v>1991</v>
      </c>
      <c r="B200">
        <v>1</v>
      </c>
      <c r="C200">
        <v>36157</v>
      </c>
      <c r="D200">
        <v>3600</v>
      </c>
      <c r="E200">
        <v>38</v>
      </c>
      <c r="F200">
        <v>2.2999999999999998</v>
      </c>
      <c r="G200">
        <v>6</v>
      </c>
      <c r="H200">
        <v>94</v>
      </c>
      <c r="I200">
        <v>94</v>
      </c>
      <c r="J200">
        <v>94</v>
      </c>
      <c r="K200">
        <v>94</v>
      </c>
      <c r="L200">
        <v>100</v>
      </c>
      <c r="M200">
        <v>3</v>
      </c>
      <c r="N200" t="s">
        <v>21</v>
      </c>
      <c r="O200" s="8">
        <v>53.31</v>
      </c>
      <c r="P200" s="7">
        <v>-132.43299999999999</v>
      </c>
    </row>
    <row r="201" spans="1:16">
      <c r="A201">
        <v>1992</v>
      </c>
      <c r="B201">
        <v>1</v>
      </c>
      <c r="C201">
        <v>63276</v>
      </c>
      <c r="D201">
        <v>6300</v>
      </c>
      <c r="E201">
        <v>59</v>
      </c>
      <c r="F201">
        <v>1.4</v>
      </c>
      <c r="G201">
        <v>8.6999999999999993</v>
      </c>
      <c r="H201">
        <v>96</v>
      </c>
      <c r="I201">
        <v>96</v>
      </c>
      <c r="J201">
        <v>96</v>
      </c>
      <c r="K201">
        <v>96</v>
      </c>
      <c r="L201">
        <v>100</v>
      </c>
      <c r="M201">
        <v>3</v>
      </c>
      <c r="N201" t="s">
        <v>21</v>
      </c>
      <c r="O201" s="8">
        <v>53.31</v>
      </c>
      <c r="P201" s="7">
        <v>-132.43299999999999</v>
      </c>
    </row>
    <row r="202" spans="1:16">
      <c r="A202">
        <v>1993</v>
      </c>
      <c r="B202">
        <v>1</v>
      </c>
      <c r="C202">
        <v>4017</v>
      </c>
      <c r="D202">
        <v>400</v>
      </c>
      <c r="E202">
        <v>83</v>
      </c>
      <c r="F202">
        <v>1.34</v>
      </c>
      <c r="G202">
        <v>7.4</v>
      </c>
      <c r="H202">
        <v>87</v>
      </c>
      <c r="I202">
        <v>87</v>
      </c>
      <c r="J202">
        <v>87</v>
      </c>
      <c r="K202">
        <v>87</v>
      </c>
      <c r="L202">
        <v>100</v>
      </c>
      <c r="M202">
        <v>3</v>
      </c>
      <c r="N202" t="s">
        <v>21</v>
      </c>
      <c r="O202" s="8">
        <v>53.31</v>
      </c>
      <c r="P202" s="7">
        <v>-132.43299999999999</v>
      </c>
    </row>
    <row r="203" spans="1:16">
      <c r="A203">
        <v>1994</v>
      </c>
      <c r="B203">
        <v>1</v>
      </c>
      <c r="C203">
        <v>12655</v>
      </c>
      <c r="D203">
        <v>1260</v>
      </c>
      <c r="E203">
        <v>14</v>
      </c>
      <c r="F203">
        <v>1.34</v>
      </c>
      <c r="G203">
        <v>8</v>
      </c>
      <c r="H203">
        <v>93</v>
      </c>
      <c r="I203">
        <v>93</v>
      </c>
      <c r="J203">
        <v>93</v>
      </c>
      <c r="K203">
        <v>93</v>
      </c>
      <c r="L203">
        <v>100</v>
      </c>
      <c r="M203">
        <v>3</v>
      </c>
      <c r="N203" t="s">
        <v>21</v>
      </c>
      <c r="O203" s="8">
        <v>53.31</v>
      </c>
      <c r="P203" s="7">
        <v>-132.43299999999999</v>
      </c>
    </row>
    <row r="204" spans="1:16">
      <c r="A204">
        <v>1995</v>
      </c>
      <c r="B204">
        <v>0</v>
      </c>
      <c r="C204">
        <v>0</v>
      </c>
      <c r="D204">
        <v>0</v>
      </c>
      <c r="E204">
        <v>0</v>
      </c>
      <c r="F204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>
        <v>0</v>
      </c>
      <c r="M204">
        <v>3</v>
      </c>
      <c r="N204" t="s">
        <v>21</v>
      </c>
      <c r="O204" s="8">
        <v>53.31</v>
      </c>
      <c r="P204" s="7">
        <v>-132.43299999999999</v>
      </c>
    </row>
    <row r="205" spans="1:16">
      <c r="A205">
        <v>1996</v>
      </c>
      <c r="B205">
        <v>1</v>
      </c>
      <c r="C205">
        <v>0</v>
      </c>
      <c r="D205">
        <v>0</v>
      </c>
      <c r="E205">
        <v>10</v>
      </c>
      <c r="F205">
        <v>2</v>
      </c>
      <c r="G205" t="s">
        <v>0</v>
      </c>
      <c r="H205">
        <v>94</v>
      </c>
      <c r="I205" t="s">
        <v>0</v>
      </c>
      <c r="J205">
        <v>94</v>
      </c>
      <c r="K205">
        <v>94</v>
      </c>
      <c r="L205">
        <v>0</v>
      </c>
      <c r="M205">
        <v>3</v>
      </c>
      <c r="N205" t="s">
        <v>21</v>
      </c>
      <c r="O205" s="8">
        <v>53.31</v>
      </c>
      <c r="P205" s="7">
        <v>-132.43299999999999</v>
      </c>
    </row>
    <row r="206" spans="1:16">
      <c r="A206">
        <v>1997</v>
      </c>
      <c r="B206">
        <v>1</v>
      </c>
      <c r="C206">
        <v>64280</v>
      </c>
      <c r="D206">
        <v>6400</v>
      </c>
      <c r="E206">
        <v>7</v>
      </c>
      <c r="F206">
        <v>1.98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>
        <v>0</v>
      </c>
      <c r="M206">
        <v>3</v>
      </c>
      <c r="N206" t="s">
        <v>21</v>
      </c>
      <c r="O206" s="8">
        <v>53.31</v>
      </c>
      <c r="P206" s="7">
        <v>-132.43299999999999</v>
      </c>
    </row>
    <row r="207" spans="1:16">
      <c r="A207">
        <v>1998</v>
      </c>
      <c r="B207">
        <v>1</v>
      </c>
      <c r="C207">
        <v>12590</v>
      </c>
      <c r="D207">
        <v>1750</v>
      </c>
      <c r="E207">
        <v>8</v>
      </c>
      <c r="F207">
        <v>2</v>
      </c>
      <c r="G207">
        <v>8.1999999999999993</v>
      </c>
      <c r="H207">
        <v>93</v>
      </c>
      <c r="I207">
        <v>93</v>
      </c>
      <c r="J207">
        <v>93</v>
      </c>
      <c r="K207">
        <v>93</v>
      </c>
      <c r="L207">
        <v>100</v>
      </c>
      <c r="M207">
        <v>3</v>
      </c>
      <c r="N207" t="s">
        <v>21</v>
      </c>
      <c r="O207" s="8">
        <v>53.31</v>
      </c>
      <c r="P207" s="7">
        <v>-132.43299999999999</v>
      </c>
    </row>
    <row r="208" spans="1:16">
      <c r="A208">
        <v>1999</v>
      </c>
      <c r="B208">
        <v>1</v>
      </c>
      <c r="C208">
        <v>14061</v>
      </c>
      <c r="D208">
        <v>1400</v>
      </c>
      <c r="E208">
        <v>11</v>
      </c>
      <c r="F208">
        <v>1.34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>
        <v>0</v>
      </c>
      <c r="M208">
        <v>3</v>
      </c>
      <c r="N208" t="s">
        <v>21</v>
      </c>
      <c r="O208" s="8">
        <v>53.31</v>
      </c>
      <c r="P208" s="7">
        <v>-132.43299999999999</v>
      </c>
    </row>
    <row r="209" spans="1:16">
      <c r="A209">
        <v>2000</v>
      </c>
      <c r="B209">
        <v>2</v>
      </c>
      <c r="C209">
        <v>28133</v>
      </c>
      <c r="D209">
        <v>3400</v>
      </c>
      <c r="E209">
        <v>42</v>
      </c>
      <c r="F209">
        <v>0.27</v>
      </c>
      <c r="G209">
        <v>7.2</v>
      </c>
      <c r="H209">
        <v>91</v>
      </c>
      <c r="I209">
        <v>91.9</v>
      </c>
      <c r="J209">
        <v>89</v>
      </c>
      <c r="K209">
        <v>93</v>
      </c>
      <c r="L209">
        <v>100</v>
      </c>
      <c r="M209">
        <v>3</v>
      </c>
      <c r="N209" t="s">
        <v>21</v>
      </c>
      <c r="O209" s="8">
        <v>53.31</v>
      </c>
      <c r="P209" s="7">
        <v>-132.43299999999999</v>
      </c>
    </row>
    <row r="210" spans="1:16">
      <c r="A210">
        <v>2001</v>
      </c>
      <c r="B210">
        <v>1</v>
      </c>
      <c r="C210">
        <v>5756</v>
      </c>
      <c r="D210">
        <v>800</v>
      </c>
      <c r="E210">
        <v>5</v>
      </c>
      <c r="F210">
        <v>2</v>
      </c>
      <c r="G210">
        <v>5.8</v>
      </c>
      <c r="H210">
        <v>80</v>
      </c>
      <c r="I210">
        <v>80</v>
      </c>
      <c r="J210">
        <v>80</v>
      </c>
      <c r="K210">
        <v>80</v>
      </c>
      <c r="L210">
        <v>100</v>
      </c>
      <c r="M210">
        <v>3</v>
      </c>
      <c r="N210" t="s">
        <v>21</v>
      </c>
      <c r="O210" s="8">
        <v>53.31</v>
      </c>
      <c r="P210" s="7">
        <v>-132.43299999999999</v>
      </c>
    </row>
    <row r="211" spans="1:16">
      <c r="A211">
        <v>2002</v>
      </c>
      <c r="B211">
        <v>1</v>
      </c>
      <c r="C211">
        <v>6609</v>
      </c>
      <c r="D211">
        <v>1150</v>
      </c>
      <c r="E211">
        <v>15</v>
      </c>
      <c r="F211">
        <v>1.95</v>
      </c>
      <c r="G211">
        <v>5.3</v>
      </c>
      <c r="H211">
        <v>77</v>
      </c>
      <c r="I211">
        <v>77</v>
      </c>
      <c r="J211">
        <v>77</v>
      </c>
      <c r="K211">
        <v>77</v>
      </c>
      <c r="L211">
        <v>100</v>
      </c>
      <c r="M211">
        <v>3</v>
      </c>
      <c r="N211" t="s">
        <v>21</v>
      </c>
      <c r="O211" s="8">
        <v>53.31</v>
      </c>
      <c r="P211" s="7">
        <v>-132.43299999999999</v>
      </c>
    </row>
    <row r="212" spans="1:16">
      <c r="A212">
        <v>2003</v>
      </c>
      <c r="B212">
        <v>8</v>
      </c>
      <c r="C212">
        <v>68056</v>
      </c>
      <c r="D212">
        <v>7600</v>
      </c>
      <c r="E212">
        <v>13</v>
      </c>
      <c r="F212">
        <v>1.46</v>
      </c>
      <c r="G212">
        <v>7.7</v>
      </c>
      <c r="H212">
        <v>89</v>
      </c>
      <c r="I212">
        <v>90</v>
      </c>
      <c r="J212">
        <v>79</v>
      </c>
      <c r="K212">
        <v>91</v>
      </c>
      <c r="L212">
        <v>0</v>
      </c>
      <c r="M212">
        <v>3</v>
      </c>
      <c r="N212" t="s">
        <v>21</v>
      </c>
      <c r="O212" s="8">
        <v>53.31</v>
      </c>
      <c r="P212" s="7">
        <v>-132.43299999999999</v>
      </c>
    </row>
    <row r="213" spans="1:16">
      <c r="A213">
        <v>2004</v>
      </c>
      <c r="B213">
        <v>6</v>
      </c>
      <c r="C213">
        <v>172898</v>
      </c>
      <c r="D213">
        <v>21200</v>
      </c>
      <c r="E213">
        <v>25</v>
      </c>
      <c r="F213">
        <v>0.89</v>
      </c>
      <c r="G213">
        <v>7.1</v>
      </c>
      <c r="H213">
        <v>89.7</v>
      </c>
      <c r="I213">
        <v>89.6</v>
      </c>
      <c r="J213">
        <v>88</v>
      </c>
      <c r="K213">
        <v>90</v>
      </c>
      <c r="L213">
        <v>100</v>
      </c>
      <c r="M213">
        <v>3</v>
      </c>
      <c r="N213" t="s">
        <v>21</v>
      </c>
      <c r="O213" s="8">
        <v>53.31</v>
      </c>
      <c r="P213" s="7">
        <v>-132.43299999999999</v>
      </c>
    </row>
    <row r="214" spans="1:16">
      <c r="A214">
        <v>2005</v>
      </c>
      <c r="B214">
        <v>12</v>
      </c>
      <c r="C214">
        <v>61225</v>
      </c>
      <c r="D214">
        <v>7175</v>
      </c>
      <c r="E214">
        <v>27</v>
      </c>
      <c r="F214">
        <v>0.98</v>
      </c>
      <c r="G214">
        <v>7.2</v>
      </c>
      <c r="H214">
        <v>84.3</v>
      </c>
      <c r="I214">
        <v>92.3</v>
      </c>
      <c r="J214">
        <v>76</v>
      </c>
      <c r="K214">
        <v>97</v>
      </c>
      <c r="L214">
        <v>81</v>
      </c>
      <c r="M214">
        <v>3</v>
      </c>
      <c r="N214" t="s">
        <v>21</v>
      </c>
      <c r="O214" s="8">
        <v>53.31</v>
      </c>
      <c r="P214" s="7">
        <v>-132.43299999999999</v>
      </c>
    </row>
    <row r="215" spans="1:16">
      <c r="A215">
        <v>2006</v>
      </c>
      <c r="B215">
        <v>10</v>
      </c>
      <c r="C215">
        <v>69467</v>
      </c>
      <c r="D215">
        <v>8200</v>
      </c>
      <c r="E215">
        <v>21</v>
      </c>
      <c r="F215">
        <v>1.2</v>
      </c>
      <c r="G215">
        <v>7.1</v>
      </c>
      <c r="H215">
        <v>91.1</v>
      </c>
      <c r="I215">
        <v>92.3</v>
      </c>
      <c r="J215">
        <v>88</v>
      </c>
      <c r="K215">
        <v>97</v>
      </c>
      <c r="L215">
        <v>0</v>
      </c>
      <c r="M215">
        <v>3</v>
      </c>
      <c r="N215" t="s">
        <v>21</v>
      </c>
      <c r="O215" s="8">
        <v>53.31</v>
      </c>
      <c r="P215" s="7">
        <v>-132.43299999999999</v>
      </c>
    </row>
    <row r="216" spans="1:16">
      <c r="A216">
        <v>2007</v>
      </c>
      <c r="B216">
        <v>18</v>
      </c>
      <c r="C216">
        <v>47051</v>
      </c>
      <c r="D216">
        <v>5602</v>
      </c>
      <c r="E216">
        <v>9</v>
      </c>
      <c r="F216">
        <v>1.37</v>
      </c>
      <c r="G216">
        <v>6.3</v>
      </c>
      <c r="H216">
        <v>80.400000000000006</v>
      </c>
      <c r="I216">
        <v>83.9</v>
      </c>
      <c r="J216">
        <v>62</v>
      </c>
      <c r="K216">
        <v>94</v>
      </c>
      <c r="L216">
        <v>0</v>
      </c>
      <c r="M216">
        <v>3</v>
      </c>
      <c r="N216" t="s">
        <v>21</v>
      </c>
      <c r="O216" s="8">
        <v>53.31</v>
      </c>
      <c r="P216" s="7">
        <v>-132.43299999999999</v>
      </c>
    </row>
    <row r="217" spans="1:16">
      <c r="A217">
        <v>2008</v>
      </c>
      <c r="B217">
        <v>14</v>
      </c>
      <c r="C217">
        <v>33961</v>
      </c>
      <c r="D217">
        <v>4200</v>
      </c>
      <c r="E217">
        <v>22</v>
      </c>
      <c r="F217">
        <v>1.19</v>
      </c>
      <c r="G217">
        <v>5.9</v>
      </c>
      <c r="H217">
        <v>85.9</v>
      </c>
      <c r="I217">
        <v>88.3</v>
      </c>
      <c r="J217">
        <v>79</v>
      </c>
      <c r="K217">
        <v>91</v>
      </c>
      <c r="L217">
        <v>0</v>
      </c>
      <c r="M217">
        <v>3</v>
      </c>
      <c r="N217" t="s">
        <v>21</v>
      </c>
      <c r="O217" s="8">
        <v>53.31</v>
      </c>
      <c r="P217" s="7">
        <v>-132.43299999999999</v>
      </c>
    </row>
    <row r="218" spans="1:16">
      <c r="A218">
        <v>2009</v>
      </c>
      <c r="B218">
        <v>6</v>
      </c>
      <c r="C218">
        <v>15670</v>
      </c>
      <c r="D218">
        <v>2436</v>
      </c>
      <c r="E218">
        <v>13</v>
      </c>
      <c r="F218">
        <v>1.17</v>
      </c>
      <c r="G218">
        <v>5.5</v>
      </c>
      <c r="H218">
        <v>87.2</v>
      </c>
      <c r="I218">
        <v>91.9</v>
      </c>
      <c r="J218">
        <v>85</v>
      </c>
      <c r="K218">
        <v>98</v>
      </c>
      <c r="L218">
        <v>0</v>
      </c>
      <c r="M218">
        <v>3</v>
      </c>
      <c r="N218" t="s">
        <v>21</v>
      </c>
      <c r="O218" s="8">
        <v>53.31</v>
      </c>
      <c r="P218" s="7">
        <v>-132.43299999999999</v>
      </c>
    </row>
    <row r="219" spans="1:16">
      <c r="A219">
        <v>2010</v>
      </c>
      <c r="B219">
        <v>10</v>
      </c>
      <c r="C219">
        <v>31429</v>
      </c>
      <c r="D219">
        <v>4370</v>
      </c>
      <c r="E219">
        <v>22</v>
      </c>
      <c r="F219">
        <v>1.1000000000000001</v>
      </c>
      <c r="G219" t="s">
        <v>0</v>
      </c>
      <c r="H219">
        <v>91</v>
      </c>
      <c r="I219">
        <v>91</v>
      </c>
      <c r="J219">
        <v>91</v>
      </c>
      <c r="K219">
        <v>91</v>
      </c>
      <c r="L219">
        <v>0</v>
      </c>
      <c r="M219">
        <v>3</v>
      </c>
      <c r="N219" t="s">
        <v>21</v>
      </c>
      <c r="O219" s="8">
        <v>53.31</v>
      </c>
      <c r="P219" s="7">
        <v>-132.43299999999999</v>
      </c>
    </row>
    <row r="220" spans="1:16">
      <c r="A220">
        <v>2011</v>
      </c>
      <c r="B220">
        <v>2</v>
      </c>
      <c r="C220">
        <v>11917</v>
      </c>
      <c r="D220">
        <v>1300</v>
      </c>
      <c r="E220">
        <v>13</v>
      </c>
      <c r="F220">
        <v>1.93</v>
      </c>
      <c r="G220">
        <v>7</v>
      </c>
      <c r="H220">
        <v>101.5</v>
      </c>
      <c r="I220">
        <v>100.7</v>
      </c>
      <c r="J220">
        <v>100</v>
      </c>
      <c r="K220">
        <v>103</v>
      </c>
      <c r="L220">
        <v>0</v>
      </c>
      <c r="M220">
        <v>3</v>
      </c>
      <c r="N220" t="s">
        <v>21</v>
      </c>
      <c r="O220" s="8">
        <v>53.31</v>
      </c>
      <c r="P220" s="7">
        <v>-132.43299999999999</v>
      </c>
    </row>
    <row r="221" spans="1:16">
      <c r="A221">
        <v>2012</v>
      </c>
      <c r="B221">
        <v>5</v>
      </c>
      <c r="C221">
        <v>22920</v>
      </c>
      <c r="D221">
        <v>2577</v>
      </c>
      <c r="E221">
        <v>7</v>
      </c>
      <c r="F221">
        <v>2</v>
      </c>
      <c r="G221">
        <v>7.2</v>
      </c>
      <c r="H221">
        <v>105.4</v>
      </c>
      <c r="I221">
        <v>92.1</v>
      </c>
      <c r="J221">
        <v>83</v>
      </c>
      <c r="K221">
        <v>111</v>
      </c>
      <c r="L221">
        <v>0</v>
      </c>
      <c r="M221">
        <v>3</v>
      </c>
      <c r="N221" t="s">
        <v>21</v>
      </c>
      <c r="O221" s="8">
        <v>53.31</v>
      </c>
      <c r="P221" s="7">
        <v>-132.43299999999999</v>
      </c>
    </row>
    <row r="222" spans="1:16">
      <c r="A222">
        <v>2013</v>
      </c>
      <c r="B222">
        <v>2</v>
      </c>
      <c r="C222">
        <v>2586</v>
      </c>
      <c r="D222">
        <v>450</v>
      </c>
      <c r="E222">
        <v>11</v>
      </c>
      <c r="F222">
        <v>1</v>
      </c>
      <c r="G222" t="s">
        <v>0</v>
      </c>
      <c r="H222">
        <v>94</v>
      </c>
      <c r="I222">
        <v>94</v>
      </c>
      <c r="J222">
        <v>94</v>
      </c>
      <c r="K222">
        <v>94</v>
      </c>
      <c r="L222">
        <v>0</v>
      </c>
      <c r="M222">
        <v>3</v>
      </c>
      <c r="N222" t="s">
        <v>21</v>
      </c>
      <c r="O222" s="8">
        <v>53.31</v>
      </c>
      <c r="P222" s="7">
        <v>-132.43299999999999</v>
      </c>
    </row>
    <row r="223" spans="1:16">
      <c r="A223">
        <v>1940</v>
      </c>
      <c r="B223">
        <v>0</v>
      </c>
      <c r="C223">
        <v>0</v>
      </c>
      <c r="D223">
        <v>0</v>
      </c>
      <c r="E223">
        <v>0</v>
      </c>
      <c r="F223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>
        <v>0</v>
      </c>
      <c r="M223">
        <v>4</v>
      </c>
      <c r="N223" t="s">
        <v>22</v>
      </c>
      <c r="O223" s="8">
        <v>53.13</v>
      </c>
      <c r="P223" s="7">
        <v>-132.4</v>
      </c>
    </row>
    <row r="224" spans="1:16">
      <c r="A224">
        <v>1941</v>
      </c>
      <c r="B224">
        <v>0</v>
      </c>
      <c r="C224">
        <v>0</v>
      </c>
      <c r="D224">
        <v>0</v>
      </c>
      <c r="E224">
        <v>0</v>
      </c>
      <c r="F224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>
        <v>0</v>
      </c>
      <c r="M224">
        <v>4</v>
      </c>
      <c r="N224" t="s">
        <v>22</v>
      </c>
      <c r="O224" s="8">
        <v>53.13</v>
      </c>
      <c r="P224" s="7">
        <v>-132.4</v>
      </c>
    </row>
    <row r="225" spans="1:16">
      <c r="A225">
        <v>1942</v>
      </c>
      <c r="B225">
        <v>1</v>
      </c>
      <c r="C225">
        <v>33097</v>
      </c>
      <c r="D225">
        <v>4570</v>
      </c>
      <c r="E225">
        <v>18</v>
      </c>
      <c r="F225">
        <v>2.74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>
        <v>0</v>
      </c>
      <c r="M225">
        <v>4</v>
      </c>
      <c r="N225" t="s">
        <v>22</v>
      </c>
      <c r="O225" s="8">
        <v>53.13</v>
      </c>
      <c r="P225" s="7">
        <v>-132.4</v>
      </c>
    </row>
    <row r="226" spans="1:16">
      <c r="A226">
        <v>1943</v>
      </c>
      <c r="B226">
        <v>1</v>
      </c>
      <c r="C226">
        <v>17208</v>
      </c>
      <c r="D226">
        <v>2376</v>
      </c>
      <c r="E226">
        <v>27</v>
      </c>
      <c r="F226">
        <v>2.74</v>
      </c>
      <c r="G226" t="s">
        <v>0</v>
      </c>
      <c r="H226">
        <v>117</v>
      </c>
      <c r="I226">
        <v>117</v>
      </c>
      <c r="J226">
        <v>117</v>
      </c>
      <c r="K226">
        <v>117</v>
      </c>
      <c r="L226">
        <v>0</v>
      </c>
      <c r="M226">
        <v>4</v>
      </c>
      <c r="N226" t="s">
        <v>22</v>
      </c>
      <c r="O226" s="8">
        <v>53.13</v>
      </c>
      <c r="P226" s="7">
        <v>-132.4</v>
      </c>
    </row>
    <row r="227" spans="1:16">
      <c r="A227">
        <v>1944</v>
      </c>
      <c r="B227">
        <v>0</v>
      </c>
      <c r="C227">
        <v>0</v>
      </c>
      <c r="D227">
        <v>0</v>
      </c>
      <c r="E227">
        <v>0</v>
      </c>
      <c r="F227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>
        <v>0</v>
      </c>
      <c r="M227">
        <v>4</v>
      </c>
      <c r="N227" t="s">
        <v>22</v>
      </c>
      <c r="O227" s="8">
        <v>53.13</v>
      </c>
      <c r="P227" s="7">
        <v>-132.4</v>
      </c>
    </row>
    <row r="228" spans="1:16">
      <c r="A228">
        <v>1945</v>
      </c>
      <c r="B228">
        <v>0</v>
      </c>
      <c r="C228">
        <v>0</v>
      </c>
      <c r="D228">
        <v>0</v>
      </c>
      <c r="E228">
        <v>0</v>
      </c>
      <c r="F228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>
        <v>0</v>
      </c>
      <c r="M228">
        <v>4</v>
      </c>
      <c r="N228" t="s">
        <v>22</v>
      </c>
      <c r="O228" s="8">
        <v>53.13</v>
      </c>
      <c r="P228" s="7">
        <v>-132.4</v>
      </c>
    </row>
    <row r="229" spans="1:16">
      <c r="A229">
        <v>1946</v>
      </c>
      <c r="B229">
        <v>0</v>
      </c>
      <c r="C229">
        <v>0</v>
      </c>
      <c r="D229">
        <v>0</v>
      </c>
      <c r="E229">
        <v>0</v>
      </c>
      <c r="F229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>
        <v>0</v>
      </c>
      <c r="M229">
        <v>4</v>
      </c>
      <c r="N229" t="s">
        <v>22</v>
      </c>
      <c r="O229" s="8">
        <v>53.13</v>
      </c>
      <c r="P229" s="7">
        <v>-132.4</v>
      </c>
    </row>
    <row r="230" spans="1:16">
      <c r="A230">
        <v>1947</v>
      </c>
      <c r="B230">
        <v>0</v>
      </c>
      <c r="C230">
        <v>0</v>
      </c>
      <c r="D230">
        <v>0</v>
      </c>
      <c r="E230">
        <v>0</v>
      </c>
      <c r="F230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>
        <v>0</v>
      </c>
      <c r="M230">
        <v>4</v>
      </c>
      <c r="N230" t="s">
        <v>22</v>
      </c>
      <c r="O230" s="8">
        <v>53.13</v>
      </c>
      <c r="P230" s="7">
        <v>-132.4</v>
      </c>
    </row>
    <row r="231" spans="1:16">
      <c r="A231">
        <v>1948</v>
      </c>
      <c r="B231">
        <v>0</v>
      </c>
      <c r="C231">
        <v>0</v>
      </c>
      <c r="D231">
        <v>0</v>
      </c>
      <c r="E231">
        <v>0</v>
      </c>
      <c r="F231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>
        <v>0</v>
      </c>
      <c r="M231">
        <v>4</v>
      </c>
      <c r="N231" t="s">
        <v>22</v>
      </c>
      <c r="O231" s="8">
        <v>53.13</v>
      </c>
      <c r="P231" s="7">
        <v>-132.4</v>
      </c>
    </row>
    <row r="232" spans="1:16">
      <c r="A232">
        <v>1949</v>
      </c>
      <c r="B232">
        <v>0</v>
      </c>
      <c r="C232">
        <v>0</v>
      </c>
      <c r="D232">
        <v>0</v>
      </c>
      <c r="E232">
        <v>0</v>
      </c>
      <c r="F232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>
        <v>0</v>
      </c>
      <c r="M232">
        <v>4</v>
      </c>
      <c r="N232" t="s">
        <v>22</v>
      </c>
      <c r="O232" s="8">
        <v>53.13</v>
      </c>
      <c r="P232" s="7">
        <v>-132.4</v>
      </c>
    </row>
    <row r="233" spans="1:16">
      <c r="A233">
        <v>1950</v>
      </c>
      <c r="B233">
        <v>0</v>
      </c>
      <c r="C233">
        <v>0</v>
      </c>
      <c r="D233">
        <v>0</v>
      </c>
      <c r="E233">
        <v>0</v>
      </c>
      <c r="F233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>
        <v>0</v>
      </c>
      <c r="M233">
        <v>4</v>
      </c>
      <c r="N233" t="s">
        <v>22</v>
      </c>
      <c r="O233" s="8">
        <v>53.13</v>
      </c>
      <c r="P233" s="7">
        <v>-132.4</v>
      </c>
    </row>
    <row r="234" spans="1:16">
      <c r="A234">
        <v>1951</v>
      </c>
      <c r="B234">
        <v>0</v>
      </c>
      <c r="C234">
        <v>0</v>
      </c>
      <c r="D234">
        <v>0</v>
      </c>
      <c r="E234">
        <v>0</v>
      </c>
      <c r="F234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>
        <v>0</v>
      </c>
      <c r="M234">
        <v>4</v>
      </c>
      <c r="N234" t="s">
        <v>22</v>
      </c>
      <c r="O234" s="8">
        <v>53.13</v>
      </c>
      <c r="P234" s="7">
        <v>-132.4</v>
      </c>
    </row>
    <row r="235" spans="1:16">
      <c r="A235">
        <v>1952</v>
      </c>
      <c r="B235">
        <v>0</v>
      </c>
      <c r="C235">
        <v>0</v>
      </c>
      <c r="D235">
        <v>0</v>
      </c>
      <c r="E235">
        <v>0</v>
      </c>
      <c r="F235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>
        <v>0</v>
      </c>
      <c r="M235">
        <v>4</v>
      </c>
      <c r="N235" t="s">
        <v>22</v>
      </c>
      <c r="O235" s="8">
        <v>53.13</v>
      </c>
      <c r="P235" s="7">
        <v>-132.4</v>
      </c>
    </row>
    <row r="236" spans="1:16">
      <c r="A236">
        <v>1953</v>
      </c>
      <c r="B236">
        <v>1</v>
      </c>
      <c r="C236">
        <v>2729</v>
      </c>
      <c r="D236">
        <v>484</v>
      </c>
      <c r="E236">
        <v>9</v>
      </c>
      <c r="F236">
        <v>2.96</v>
      </c>
      <c r="G236">
        <v>7.5</v>
      </c>
      <c r="H236">
        <v>101</v>
      </c>
      <c r="I236">
        <v>101</v>
      </c>
      <c r="J236">
        <v>101</v>
      </c>
      <c r="K236">
        <v>101</v>
      </c>
      <c r="L236">
        <v>0</v>
      </c>
      <c r="M236">
        <v>4</v>
      </c>
      <c r="N236" t="s">
        <v>22</v>
      </c>
      <c r="O236" s="8">
        <v>53.13</v>
      </c>
      <c r="P236" s="7">
        <v>-132.4</v>
      </c>
    </row>
    <row r="237" spans="1:16">
      <c r="A237">
        <v>1954</v>
      </c>
      <c r="B237">
        <v>0</v>
      </c>
      <c r="C237">
        <v>0</v>
      </c>
      <c r="D237">
        <v>0</v>
      </c>
      <c r="E237">
        <v>0</v>
      </c>
      <c r="F237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>
        <v>0</v>
      </c>
      <c r="M237">
        <v>4</v>
      </c>
      <c r="N237" t="s">
        <v>22</v>
      </c>
      <c r="O237" s="8">
        <v>53.13</v>
      </c>
      <c r="P237" s="7">
        <v>-132.4</v>
      </c>
    </row>
    <row r="238" spans="1:16">
      <c r="A238">
        <v>1955</v>
      </c>
      <c r="B238">
        <v>0</v>
      </c>
      <c r="C238">
        <v>0</v>
      </c>
      <c r="D238">
        <v>0</v>
      </c>
      <c r="E238">
        <v>0</v>
      </c>
      <c r="F238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>
        <v>0</v>
      </c>
      <c r="M238">
        <v>4</v>
      </c>
      <c r="N238" t="s">
        <v>22</v>
      </c>
      <c r="O238" s="8">
        <v>53.13</v>
      </c>
      <c r="P238" s="7">
        <v>-132.4</v>
      </c>
    </row>
    <row r="239" spans="1:16">
      <c r="A239">
        <v>1956</v>
      </c>
      <c r="B239">
        <v>0</v>
      </c>
      <c r="C239">
        <v>0</v>
      </c>
      <c r="D239">
        <v>0</v>
      </c>
      <c r="E239">
        <v>0</v>
      </c>
      <c r="F239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>
        <v>0</v>
      </c>
      <c r="M239">
        <v>4</v>
      </c>
      <c r="N239" t="s">
        <v>22</v>
      </c>
      <c r="O239" s="8">
        <v>53.13</v>
      </c>
      <c r="P239" s="7">
        <v>-132.4</v>
      </c>
    </row>
    <row r="240" spans="1:16">
      <c r="A240">
        <v>1957</v>
      </c>
      <c r="B240">
        <v>0</v>
      </c>
      <c r="C240">
        <v>0</v>
      </c>
      <c r="D240">
        <v>0</v>
      </c>
      <c r="E240">
        <v>0</v>
      </c>
      <c r="F240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>
        <v>0</v>
      </c>
      <c r="M240">
        <v>4</v>
      </c>
      <c r="N240" t="s">
        <v>22</v>
      </c>
      <c r="O240" s="8">
        <v>53.13</v>
      </c>
      <c r="P240" s="7">
        <v>-132.4</v>
      </c>
    </row>
    <row r="241" spans="1:16">
      <c r="A241">
        <v>1958</v>
      </c>
      <c r="B241">
        <v>0</v>
      </c>
      <c r="C241">
        <v>0</v>
      </c>
      <c r="D241">
        <v>0</v>
      </c>
      <c r="E241">
        <v>0</v>
      </c>
      <c r="F241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>
        <v>0</v>
      </c>
      <c r="M241">
        <v>4</v>
      </c>
      <c r="N241" t="s">
        <v>22</v>
      </c>
      <c r="O241" s="8">
        <v>53.13</v>
      </c>
      <c r="P241" s="7">
        <v>-132.4</v>
      </c>
    </row>
    <row r="242" spans="1:16">
      <c r="A242">
        <v>1959</v>
      </c>
      <c r="B242">
        <v>0</v>
      </c>
      <c r="C242">
        <v>0</v>
      </c>
      <c r="D242">
        <v>0</v>
      </c>
      <c r="E242">
        <v>0</v>
      </c>
      <c r="F242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>
        <v>0</v>
      </c>
      <c r="M242">
        <v>4</v>
      </c>
      <c r="N242" t="s">
        <v>22</v>
      </c>
      <c r="O242" s="8">
        <v>53.13</v>
      </c>
      <c r="P242" s="7">
        <v>-132.4</v>
      </c>
    </row>
    <row r="243" spans="1:16">
      <c r="A243">
        <v>1960</v>
      </c>
      <c r="B243">
        <v>0</v>
      </c>
      <c r="C243">
        <v>0</v>
      </c>
      <c r="D243">
        <v>0</v>
      </c>
      <c r="E243">
        <v>0</v>
      </c>
      <c r="F243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>
        <v>0</v>
      </c>
      <c r="M243">
        <v>4</v>
      </c>
      <c r="N243" t="s">
        <v>22</v>
      </c>
      <c r="O243" s="8">
        <v>53.13</v>
      </c>
      <c r="P243" s="7">
        <v>-132.4</v>
      </c>
    </row>
    <row r="244" spans="1:16">
      <c r="A244">
        <v>1961</v>
      </c>
      <c r="B244">
        <v>0</v>
      </c>
      <c r="C244">
        <v>0</v>
      </c>
      <c r="D244">
        <v>0</v>
      </c>
      <c r="E244">
        <v>0</v>
      </c>
      <c r="F244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>
        <v>0</v>
      </c>
      <c r="M244">
        <v>4</v>
      </c>
      <c r="N244" t="s">
        <v>22</v>
      </c>
      <c r="O244" s="8">
        <v>53.13</v>
      </c>
      <c r="P244" s="7">
        <v>-132.4</v>
      </c>
    </row>
    <row r="245" spans="1:16">
      <c r="A245">
        <v>1962</v>
      </c>
      <c r="B245">
        <v>0</v>
      </c>
      <c r="C245">
        <v>0</v>
      </c>
      <c r="D245">
        <v>0</v>
      </c>
      <c r="E245">
        <v>0</v>
      </c>
      <c r="F245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>
        <v>0</v>
      </c>
      <c r="M245">
        <v>4</v>
      </c>
      <c r="N245" t="s">
        <v>22</v>
      </c>
      <c r="O245" s="8">
        <v>53.13</v>
      </c>
      <c r="P245" s="7">
        <v>-132.4</v>
      </c>
    </row>
    <row r="246" spans="1:16">
      <c r="A246">
        <v>1963</v>
      </c>
      <c r="B246">
        <v>0</v>
      </c>
      <c r="C246">
        <v>0</v>
      </c>
      <c r="D246">
        <v>0</v>
      </c>
      <c r="E246">
        <v>0</v>
      </c>
      <c r="F246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>
        <v>0</v>
      </c>
      <c r="M246">
        <v>4</v>
      </c>
      <c r="N246" t="s">
        <v>22</v>
      </c>
      <c r="O246" s="8">
        <v>53.13</v>
      </c>
      <c r="P246" s="7">
        <v>-132.4</v>
      </c>
    </row>
    <row r="247" spans="1:16">
      <c r="A247">
        <v>1964</v>
      </c>
      <c r="B247">
        <v>1</v>
      </c>
      <c r="C247">
        <v>4896</v>
      </c>
      <c r="D247">
        <v>676</v>
      </c>
      <c r="E247">
        <v>27</v>
      </c>
      <c r="F247">
        <v>1.34</v>
      </c>
      <c r="G247">
        <v>5.3</v>
      </c>
      <c r="H247">
        <v>84</v>
      </c>
      <c r="I247">
        <v>84</v>
      </c>
      <c r="J247">
        <v>84</v>
      </c>
      <c r="K247">
        <v>84</v>
      </c>
      <c r="L247">
        <v>0</v>
      </c>
      <c r="M247">
        <v>4</v>
      </c>
      <c r="N247" t="s">
        <v>22</v>
      </c>
      <c r="O247" s="8">
        <v>53.13</v>
      </c>
      <c r="P247" s="7">
        <v>-132.4</v>
      </c>
    </row>
    <row r="248" spans="1:16">
      <c r="A248">
        <v>1965</v>
      </c>
      <c r="B248">
        <v>1</v>
      </c>
      <c r="C248">
        <v>3310</v>
      </c>
      <c r="D248">
        <v>457</v>
      </c>
      <c r="E248">
        <v>5</v>
      </c>
      <c r="F248">
        <v>1.34</v>
      </c>
      <c r="G248">
        <v>7.5</v>
      </c>
      <c r="H248">
        <v>110</v>
      </c>
      <c r="I248">
        <v>110</v>
      </c>
      <c r="J248">
        <v>110</v>
      </c>
      <c r="K248">
        <v>110</v>
      </c>
      <c r="L248">
        <v>0</v>
      </c>
      <c r="M248">
        <v>4</v>
      </c>
      <c r="N248" t="s">
        <v>22</v>
      </c>
      <c r="O248" s="8">
        <v>53.13</v>
      </c>
      <c r="P248" s="7">
        <v>-132.4</v>
      </c>
    </row>
    <row r="249" spans="1:16">
      <c r="A249">
        <v>1966</v>
      </c>
      <c r="B249">
        <v>0</v>
      </c>
      <c r="C249">
        <v>0</v>
      </c>
      <c r="D249">
        <v>0</v>
      </c>
      <c r="E249">
        <v>0</v>
      </c>
      <c r="F249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>
        <v>0</v>
      </c>
      <c r="M249">
        <v>4</v>
      </c>
      <c r="N249" t="s">
        <v>22</v>
      </c>
      <c r="O249" s="8">
        <v>53.13</v>
      </c>
      <c r="P249" s="7">
        <v>-132.4</v>
      </c>
    </row>
    <row r="250" spans="1:16">
      <c r="A250">
        <v>1967</v>
      </c>
      <c r="B250">
        <v>0</v>
      </c>
      <c r="C250">
        <v>0</v>
      </c>
      <c r="D250">
        <v>0</v>
      </c>
      <c r="E250">
        <v>0</v>
      </c>
      <c r="F250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>
        <v>0</v>
      </c>
      <c r="M250">
        <v>4</v>
      </c>
      <c r="N250" t="s">
        <v>22</v>
      </c>
      <c r="O250" s="8">
        <v>53.13</v>
      </c>
      <c r="P250" s="7">
        <v>-132.4</v>
      </c>
    </row>
    <row r="251" spans="1:16">
      <c r="A251">
        <v>1968</v>
      </c>
      <c r="B251">
        <v>0</v>
      </c>
      <c r="C251">
        <v>0</v>
      </c>
      <c r="D251">
        <v>0</v>
      </c>
      <c r="E251">
        <v>0</v>
      </c>
      <c r="F251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>
        <v>0</v>
      </c>
      <c r="M251">
        <v>4</v>
      </c>
      <c r="N251" t="s">
        <v>22</v>
      </c>
      <c r="O251" s="8">
        <v>53.13</v>
      </c>
      <c r="P251" s="7">
        <v>-132.4</v>
      </c>
    </row>
    <row r="252" spans="1:16">
      <c r="A252">
        <v>1969</v>
      </c>
      <c r="B252">
        <v>0</v>
      </c>
      <c r="C252">
        <v>0</v>
      </c>
      <c r="D252">
        <v>0</v>
      </c>
      <c r="E252">
        <v>0</v>
      </c>
      <c r="F252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>
        <v>0</v>
      </c>
      <c r="M252">
        <v>4</v>
      </c>
      <c r="N252" t="s">
        <v>22</v>
      </c>
      <c r="O252" s="8">
        <v>53.13</v>
      </c>
      <c r="P252" s="7">
        <v>-132.4</v>
      </c>
    </row>
    <row r="253" spans="1:16">
      <c r="A253">
        <v>1970</v>
      </c>
      <c r="B253">
        <v>0</v>
      </c>
      <c r="C253">
        <v>0</v>
      </c>
      <c r="D253">
        <v>0</v>
      </c>
      <c r="E253">
        <v>0</v>
      </c>
      <c r="F253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>
        <v>0</v>
      </c>
      <c r="M253">
        <v>4</v>
      </c>
      <c r="N253" t="s">
        <v>22</v>
      </c>
      <c r="O253" s="8">
        <v>53.13</v>
      </c>
      <c r="P253" s="7">
        <v>-132.4</v>
      </c>
    </row>
    <row r="254" spans="1:16">
      <c r="A254">
        <v>1971</v>
      </c>
      <c r="B254">
        <v>0</v>
      </c>
      <c r="C254">
        <v>0</v>
      </c>
      <c r="D254">
        <v>0</v>
      </c>
      <c r="E254">
        <v>0</v>
      </c>
      <c r="F254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>
        <v>0</v>
      </c>
      <c r="M254">
        <v>4</v>
      </c>
      <c r="N254" t="s">
        <v>22</v>
      </c>
      <c r="O254" s="8">
        <v>53.13</v>
      </c>
      <c r="P254" s="7">
        <v>-132.4</v>
      </c>
    </row>
    <row r="255" spans="1:16">
      <c r="A255">
        <v>1972</v>
      </c>
      <c r="B255">
        <v>0</v>
      </c>
      <c r="C255">
        <v>0</v>
      </c>
      <c r="D255">
        <v>0</v>
      </c>
      <c r="E255">
        <v>0</v>
      </c>
      <c r="F255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>
        <v>0</v>
      </c>
      <c r="M255">
        <v>4</v>
      </c>
      <c r="N255" t="s">
        <v>22</v>
      </c>
      <c r="O255" s="8">
        <v>53.13</v>
      </c>
      <c r="P255" s="7">
        <v>-132.4</v>
      </c>
    </row>
    <row r="256" spans="1:16">
      <c r="A256">
        <v>1973</v>
      </c>
      <c r="B256">
        <v>0</v>
      </c>
      <c r="C256">
        <v>0</v>
      </c>
      <c r="D256">
        <v>0</v>
      </c>
      <c r="E256">
        <v>0</v>
      </c>
      <c r="F256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>
        <v>0</v>
      </c>
      <c r="M256">
        <v>4</v>
      </c>
      <c r="N256" t="s">
        <v>22</v>
      </c>
      <c r="O256" s="8">
        <v>53.13</v>
      </c>
      <c r="P256" s="7">
        <v>-132.4</v>
      </c>
    </row>
    <row r="257" spans="1:16">
      <c r="A257">
        <v>1974</v>
      </c>
      <c r="B257">
        <v>0</v>
      </c>
      <c r="C257">
        <v>0</v>
      </c>
      <c r="D257">
        <v>0</v>
      </c>
      <c r="E257">
        <v>0</v>
      </c>
      <c r="F257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>
        <v>0</v>
      </c>
      <c r="M257">
        <v>4</v>
      </c>
      <c r="N257" t="s">
        <v>22</v>
      </c>
      <c r="O257" s="8">
        <v>53.13</v>
      </c>
      <c r="P257" s="7">
        <v>-132.4</v>
      </c>
    </row>
    <row r="258" spans="1:16">
      <c r="A258">
        <v>1975</v>
      </c>
      <c r="B258">
        <v>1</v>
      </c>
      <c r="C258">
        <v>6619</v>
      </c>
      <c r="D258">
        <v>914</v>
      </c>
      <c r="E258">
        <v>6</v>
      </c>
      <c r="F258">
        <v>2.15</v>
      </c>
      <c r="G258">
        <v>5.6</v>
      </c>
      <c r="H258">
        <v>109</v>
      </c>
      <c r="I258">
        <v>109</v>
      </c>
      <c r="J258">
        <v>109</v>
      </c>
      <c r="K258">
        <v>109</v>
      </c>
      <c r="L258">
        <v>0</v>
      </c>
      <c r="M258">
        <v>4</v>
      </c>
      <c r="N258" t="s">
        <v>22</v>
      </c>
      <c r="O258" s="8">
        <v>53.13</v>
      </c>
      <c r="P258" s="7">
        <v>-132.4</v>
      </c>
    </row>
    <row r="259" spans="1:16">
      <c r="A259">
        <v>1976</v>
      </c>
      <c r="B259">
        <v>0</v>
      </c>
      <c r="C259">
        <v>0</v>
      </c>
      <c r="D259">
        <v>0</v>
      </c>
      <c r="E259">
        <v>0</v>
      </c>
      <c r="F259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>
        <v>0</v>
      </c>
      <c r="M259">
        <v>4</v>
      </c>
      <c r="N259" t="s">
        <v>22</v>
      </c>
      <c r="O259" s="8">
        <v>53.13</v>
      </c>
      <c r="P259" s="7">
        <v>-132.4</v>
      </c>
    </row>
    <row r="260" spans="1:16">
      <c r="A260">
        <v>1977</v>
      </c>
      <c r="B260">
        <v>1</v>
      </c>
      <c r="C260">
        <v>7945</v>
      </c>
      <c r="D260">
        <v>1097</v>
      </c>
      <c r="E260">
        <v>11</v>
      </c>
      <c r="F260">
        <v>1</v>
      </c>
      <c r="G260">
        <v>7.2</v>
      </c>
      <c r="H260">
        <v>97</v>
      </c>
      <c r="I260">
        <v>97</v>
      </c>
      <c r="J260">
        <v>97</v>
      </c>
      <c r="K260">
        <v>97</v>
      </c>
      <c r="L260">
        <v>0</v>
      </c>
      <c r="M260">
        <v>4</v>
      </c>
      <c r="N260" t="s">
        <v>22</v>
      </c>
      <c r="O260" s="8">
        <v>53.13</v>
      </c>
      <c r="P260" s="7">
        <v>-132.4</v>
      </c>
    </row>
    <row r="261" spans="1:16">
      <c r="A261">
        <v>1978</v>
      </c>
      <c r="B261">
        <v>0</v>
      </c>
      <c r="C261">
        <v>0</v>
      </c>
      <c r="D261">
        <v>0</v>
      </c>
      <c r="E261">
        <v>0</v>
      </c>
      <c r="F261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>
        <v>0</v>
      </c>
      <c r="M261">
        <v>4</v>
      </c>
      <c r="N261" t="s">
        <v>22</v>
      </c>
      <c r="O261" s="8">
        <v>53.13</v>
      </c>
      <c r="P261" s="7">
        <v>-132.4</v>
      </c>
    </row>
    <row r="262" spans="1:16">
      <c r="A262">
        <v>1979</v>
      </c>
      <c r="B262">
        <v>2</v>
      </c>
      <c r="C262">
        <v>4635</v>
      </c>
      <c r="D262">
        <v>640</v>
      </c>
      <c r="E262">
        <v>3</v>
      </c>
      <c r="F262">
        <v>0.3</v>
      </c>
      <c r="G262">
        <v>7.2</v>
      </c>
      <c r="H262">
        <v>107</v>
      </c>
      <c r="I262">
        <v>107</v>
      </c>
      <c r="J262">
        <v>107</v>
      </c>
      <c r="K262">
        <v>107</v>
      </c>
      <c r="L262">
        <v>0</v>
      </c>
      <c r="M262">
        <v>4</v>
      </c>
      <c r="N262" t="s">
        <v>22</v>
      </c>
      <c r="O262" s="8">
        <v>53.13</v>
      </c>
      <c r="P262" s="7">
        <v>-132.4</v>
      </c>
    </row>
    <row r="263" spans="1:16">
      <c r="A263">
        <v>1980</v>
      </c>
      <c r="B263">
        <v>0</v>
      </c>
      <c r="C263">
        <v>0</v>
      </c>
      <c r="D263">
        <v>0</v>
      </c>
      <c r="E263">
        <v>0</v>
      </c>
      <c r="F263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>
        <v>0</v>
      </c>
      <c r="M263">
        <v>4</v>
      </c>
      <c r="N263" t="s">
        <v>22</v>
      </c>
      <c r="O263" s="8">
        <v>53.13</v>
      </c>
      <c r="P263" s="7">
        <v>-132.4</v>
      </c>
    </row>
    <row r="264" spans="1:16">
      <c r="A264">
        <v>1981</v>
      </c>
      <c r="B264">
        <v>10</v>
      </c>
      <c r="C264">
        <v>16216</v>
      </c>
      <c r="D264">
        <v>2239</v>
      </c>
      <c r="E264">
        <v>8</v>
      </c>
      <c r="F264">
        <v>0.4</v>
      </c>
      <c r="G264">
        <v>8.1</v>
      </c>
      <c r="H264">
        <v>96</v>
      </c>
      <c r="I264">
        <v>96</v>
      </c>
      <c r="J264">
        <v>96</v>
      </c>
      <c r="K264">
        <v>96</v>
      </c>
      <c r="L264">
        <v>0</v>
      </c>
      <c r="M264">
        <v>4</v>
      </c>
      <c r="N264" t="s">
        <v>22</v>
      </c>
      <c r="O264" s="8">
        <v>53.13</v>
      </c>
      <c r="P264" s="7">
        <v>-132.4</v>
      </c>
    </row>
    <row r="265" spans="1:16">
      <c r="A265">
        <v>1982</v>
      </c>
      <c r="B265">
        <v>3</v>
      </c>
      <c r="C265">
        <v>9276</v>
      </c>
      <c r="D265">
        <v>1645</v>
      </c>
      <c r="E265">
        <v>5</v>
      </c>
      <c r="F265">
        <v>2</v>
      </c>
      <c r="G265">
        <v>7.5</v>
      </c>
      <c r="H265">
        <v>97</v>
      </c>
      <c r="I265">
        <v>97</v>
      </c>
      <c r="J265">
        <v>97</v>
      </c>
      <c r="K265">
        <v>97</v>
      </c>
      <c r="L265">
        <v>0</v>
      </c>
      <c r="M265">
        <v>4</v>
      </c>
      <c r="N265" t="s">
        <v>22</v>
      </c>
      <c r="O265" s="8">
        <v>53.13</v>
      </c>
      <c r="P265" s="7">
        <v>-132.4</v>
      </c>
    </row>
    <row r="266" spans="1:16">
      <c r="A266">
        <v>1983</v>
      </c>
      <c r="B266">
        <v>5</v>
      </c>
      <c r="C266">
        <v>14123</v>
      </c>
      <c r="D266">
        <v>1950</v>
      </c>
      <c r="E266">
        <v>25</v>
      </c>
      <c r="F266">
        <v>2.02</v>
      </c>
      <c r="G266">
        <v>8.6999999999999993</v>
      </c>
      <c r="H266">
        <v>109</v>
      </c>
      <c r="I266">
        <v>109</v>
      </c>
      <c r="J266">
        <v>109</v>
      </c>
      <c r="K266">
        <v>109</v>
      </c>
      <c r="L266">
        <v>0</v>
      </c>
      <c r="M266">
        <v>4</v>
      </c>
      <c r="N266" t="s">
        <v>22</v>
      </c>
      <c r="O266" s="8">
        <v>53.13</v>
      </c>
      <c r="P266" s="7">
        <v>-132.4</v>
      </c>
    </row>
    <row r="267" spans="1:16">
      <c r="A267">
        <v>1984</v>
      </c>
      <c r="B267">
        <v>0</v>
      </c>
      <c r="C267">
        <v>0</v>
      </c>
      <c r="D267">
        <v>0</v>
      </c>
      <c r="E267">
        <v>0</v>
      </c>
      <c r="F267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>
        <v>0</v>
      </c>
      <c r="M267">
        <v>4</v>
      </c>
      <c r="N267" t="s">
        <v>22</v>
      </c>
      <c r="O267" s="8">
        <v>53.13</v>
      </c>
      <c r="P267" s="7">
        <v>-132.4</v>
      </c>
    </row>
    <row r="268" spans="1:16">
      <c r="A268">
        <v>1985</v>
      </c>
      <c r="B268">
        <v>1</v>
      </c>
      <c r="C268">
        <v>1128</v>
      </c>
      <c r="D268">
        <v>200</v>
      </c>
      <c r="E268">
        <v>7</v>
      </c>
      <c r="F268">
        <v>0.5</v>
      </c>
      <c r="G268">
        <v>6.9</v>
      </c>
      <c r="H268">
        <v>102</v>
      </c>
      <c r="I268">
        <v>102</v>
      </c>
      <c r="J268">
        <v>102</v>
      </c>
      <c r="K268">
        <v>102</v>
      </c>
      <c r="L268">
        <v>0</v>
      </c>
      <c r="M268">
        <v>4</v>
      </c>
      <c r="N268" t="s">
        <v>22</v>
      </c>
      <c r="O268" s="8">
        <v>53.13</v>
      </c>
      <c r="P268" s="7">
        <v>-132.4</v>
      </c>
    </row>
    <row r="269" spans="1:16">
      <c r="A269">
        <v>1986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>
        <v>0</v>
      </c>
      <c r="M269">
        <v>4</v>
      </c>
      <c r="N269" t="s">
        <v>22</v>
      </c>
      <c r="O269" s="8">
        <v>53.13</v>
      </c>
      <c r="P269" s="7">
        <v>-132.4</v>
      </c>
    </row>
    <row r="270" spans="1:16">
      <c r="A270">
        <v>1987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>
        <v>0</v>
      </c>
      <c r="M270">
        <v>4</v>
      </c>
      <c r="N270" t="s">
        <v>22</v>
      </c>
      <c r="O270" s="8">
        <v>53.13</v>
      </c>
      <c r="P270" s="7">
        <v>-132.4</v>
      </c>
    </row>
    <row r="271" spans="1:16">
      <c r="A271">
        <v>1988</v>
      </c>
      <c r="B271">
        <v>2</v>
      </c>
      <c r="C271">
        <v>11588</v>
      </c>
      <c r="D271">
        <v>1600</v>
      </c>
      <c r="E271">
        <v>9</v>
      </c>
      <c r="F271">
        <v>1</v>
      </c>
      <c r="G271">
        <v>7.2</v>
      </c>
      <c r="H271">
        <v>103</v>
      </c>
      <c r="I271">
        <v>103</v>
      </c>
      <c r="J271">
        <v>103</v>
      </c>
      <c r="K271">
        <v>103</v>
      </c>
      <c r="L271">
        <v>0</v>
      </c>
      <c r="M271">
        <v>4</v>
      </c>
      <c r="N271" t="s">
        <v>22</v>
      </c>
      <c r="O271" s="8">
        <v>53.13</v>
      </c>
      <c r="P271" s="7">
        <v>-132.4</v>
      </c>
    </row>
    <row r="272" spans="1:16">
      <c r="A272">
        <v>1989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>
        <v>0</v>
      </c>
      <c r="M272">
        <v>4</v>
      </c>
      <c r="N272" t="s">
        <v>22</v>
      </c>
      <c r="O272" s="8">
        <v>53.13</v>
      </c>
      <c r="P272" s="7">
        <v>-132.4</v>
      </c>
    </row>
    <row r="273" spans="1:16">
      <c r="A273">
        <v>1990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>
        <v>0</v>
      </c>
      <c r="M273">
        <v>4</v>
      </c>
      <c r="N273" t="s">
        <v>22</v>
      </c>
      <c r="O273" s="8">
        <v>53.13</v>
      </c>
      <c r="P273" s="7">
        <v>-132.4</v>
      </c>
    </row>
    <row r="274" spans="1:16">
      <c r="A274">
        <v>1991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>
        <v>0</v>
      </c>
      <c r="M274">
        <v>4</v>
      </c>
      <c r="N274" t="s">
        <v>22</v>
      </c>
      <c r="O274" s="8">
        <v>53.13</v>
      </c>
      <c r="P274" s="7">
        <v>-132.4</v>
      </c>
    </row>
    <row r="275" spans="1:16">
      <c r="A275">
        <v>1992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>
        <v>0</v>
      </c>
      <c r="M275">
        <v>4</v>
      </c>
      <c r="N275" t="s">
        <v>22</v>
      </c>
      <c r="O275" s="8">
        <v>53.13</v>
      </c>
      <c r="P275" s="7">
        <v>-132.4</v>
      </c>
    </row>
    <row r="276" spans="1:16">
      <c r="A276">
        <v>1993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>
        <v>0</v>
      </c>
      <c r="M276">
        <v>4</v>
      </c>
      <c r="N276" t="s">
        <v>22</v>
      </c>
      <c r="O276" s="8">
        <v>53.13</v>
      </c>
      <c r="P276" s="7">
        <v>-132.4</v>
      </c>
    </row>
    <row r="277" spans="1:16">
      <c r="A277">
        <v>1994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>
        <v>0</v>
      </c>
      <c r="M277">
        <v>4</v>
      </c>
      <c r="N277" t="s">
        <v>22</v>
      </c>
      <c r="O277" s="8">
        <v>53.13</v>
      </c>
      <c r="P277" s="7">
        <v>-132.4</v>
      </c>
    </row>
    <row r="278" spans="1:16">
      <c r="A278">
        <v>1995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>
        <v>0</v>
      </c>
      <c r="M278">
        <v>4</v>
      </c>
      <c r="N278" t="s">
        <v>22</v>
      </c>
      <c r="O278" s="8">
        <v>53.13</v>
      </c>
      <c r="P278" s="7">
        <v>-132.4</v>
      </c>
    </row>
    <row r="279" spans="1:16">
      <c r="A279">
        <v>1996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>
        <v>0</v>
      </c>
      <c r="M279">
        <v>4</v>
      </c>
      <c r="N279" t="s">
        <v>22</v>
      </c>
      <c r="O279" s="8">
        <v>53.13</v>
      </c>
      <c r="P279" s="7">
        <v>-132.4</v>
      </c>
    </row>
    <row r="280" spans="1:16">
      <c r="A280">
        <v>1997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>
        <v>0</v>
      </c>
      <c r="M280">
        <v>4</v>
      </c>
      <c r="N280" t="s">
        <v>22</v>
      </c>
      <c r="O280" s="8">
        <v>53.13</v>
      </c>
      <c r="P280" s="7">
        <v>-132.4</v>
      </c>
    </row>
    <row r="281" spans="1:16">
      <c r="A281">
        <v>1998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>
        <v>0</v>
      </c>
      <c r="M281">
        <v>4</v>
      </c>
      <c r="N281" t="s">
        <v>22</v>
      </c>
      <c r="O281" s="8">
        <v>53.13</v>
      </c>
      <c r="P281" s="7">
        <v>-132.4</v>
      </c>
    </row>
    <row r="282" spans="1:16">
      <c r="A282">
        <v>1999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>
        <v>0</v>
      </c>
      <c r="M282">
        <v>4</v>
      </c>
      <c r="N282" t="s">
        <v>22</v>
      </c>
      <c r="O282" s="8">
        <v>53.13</v>
      </c>
      <c r="P282" s="7">
        <v>-132.4</v>
      </c>
    </row>
    <row r="283" spans="1:16">
      <c r="A283">
        <v>2000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>
        <v>0</v>
      </c>
      <c r="M283">
        <v>4</v>
      </c>
      <c r="N283" t="s">
        <v>22</v>
      </c>
      <c r="O283" s="8">
        <v>53.13</v>
      </c>
      <c r="P283" s="7">
        <v>-132.4</v>
      </c>
    </row>
    <row r="284" spans="1:16">
      <c r="A284">
        <v>2001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>
        <v>0</v>
      </c>
      <c r="M284">
        <v>4</v>
      </c>
      <c r="N284" t="s">
        <v>22</v>
      </c>
      <c r="O284" s="8">
        <v>53.13</v>
      </c>
      <c r="P284" s="7">
        <v>-132.4</v>
      </c>
    </row>
    <row r="285" spans="1:16">
      <c r="A285">
        <v>2002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>
        <v>0</v>
      </c>
      <c r="M285">
        <v>4</v>
      </c>
      <c r="N285" t="s">
        <v>22</v>
      </c>
      <c r="O285" s="8">
        <v>53.13</v>
      </c>
      <c r="P285" s="7">
        <v>-132.4</v>
      </c>
    </row>
    <row r="286" spans="1:16">
      <c r="A286">
        <v>2003</v>
      </c>
      <c r="B286">
        <v>4</v>
      </c>
      <c r="C286">
        <v>3011</v>
      </c>
      <c r="D286">
        <v>460</v>
      </c>
      <c r="E286">
        <v>6</v>
      </c>
      <c r="F286">
        <v>1.1000000000000001</v>
      </c>
      <c r="G286" t="s">
        <v>0</v>
      </c>
      <c r="H286">
        <v>107</v>
      </c>
      <c r="I286" t="s">
        <v>0</v>
      </c>
      <c r="J286">
        <v>107</v>
      </c>
      <c r="K286">
        <v>107</v>
      </c>
      <c r="L286">
        <v>0</v>
      </c>
      <c r="M286">
        <v>4</v>
      </c>
      <c r="N286" t="s">
        <v>22</v>
      </c>
      <c r="O286" s="8">
        <v>53.13</v>
      </c>
      <c r="P286" s="7">
        <v>-132.4</v>
      </c>
    </row>
    <row r="287" spans="1:16">
      <c r="A287">
        <v>2004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>
        <v>0</v>
      </c>
      <c r="M287">
        <v>4</v>
      </c>
      <c r="N287" t="s">
        <v>22</v>
      </c>
      <c r="O287" s="8">
        <v>53.13</v>
      </c>
      <c r="P287" s="7">
        <v>-132.4</v>
      </c>
    </row>
    <row r="288" spans="1:16">
      <c r="A288">
        <v>2005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>
        <v>0</v>
      </c>
      <c r="M288">
        <v>4</v>
      </c>
      <c r="N288" t="s">
        <v>22</v>
      </c>
      <c r="O288" s="8">
        <v>53.13</v>
      </c>
      <c r="P288" s="7">
        <v>-132.4</v>
      </c>
    </row>
    <row r="289" spans="1:16">
      <c r="A289">
        <v>2006</v>
      </c>
      <c r="B289">
        <v>3</v>
      </c>
      <c r="C289">
        <v>22451</v>
      </c>
      <c r="D289">
        <v>3100</v>
      </c>
      <c r="E289">
        <v>17</v>
      </c>
      <c r="F289">
        <v>0.8</v>
      </c>
      <c r="G289">
        <v>7.1</v>
      </c>
      <c r="H289">
        <v>97</v>
      </c>
      <c r="I289">
        <v>97</v>
      </c>
      <c r="J289">
        <v>97</v>
      </c>
      <c r="K289">
        <v>97</v>
      </c>
      <c r="L289">
        <v>0</v>
      </c>
      <c r="M289">
        <v>4</v>
      </c>
      <c r="N289" t="s">
        <v>22</v>
      </c>
      <c r="O289" s="8">
        <v>53.13</v>
      </c>
      <c r="P289" s="7">
        <v>-132.4</v>
      </c>
    </row>
    <row r="290" spans="1:16">
      <c r="A290">
        <v>2007</v>
      </c>
      <c r="B290">
        <v>4</v>
      </c>
      <c r="C290">
        <v>9415</v>
      </c>
      <c r="D290">
        <v>1300</v>
      </c>
      <c r="E290">
        <v>16</v>
      </c>
      <c r="F290">
        <v>0.8</v>
      </c>
      <c r="G290">
        <v>6.3</v>
      </c>
      <c r="H290">
        <v>94</v>
      </c>
      <c r="I290">
        <v>94</v>
      </c>
      <c r="J290">
        <v>94</v>
      </c>
      <c r="K290">
        <v>94</v>
      </c>
      <c r="L290">
        <v>0</v>
      </c>
      <c r="M290">
        <v>4</v>
      </c>
      <c r="N290" t="s">
        <v>22</v>
      </c>
      <c r="O290" s="8">
        <v>53.13</v>
      </c>
      <c r="P290" s="7">
        <v>-132.4</v>
      </c>
    </row>
    <row r="291" spans="1:16">
      <c r="A291">
        <v>2008</v>
      </c>
      <c r="B291">
        <v>5</v>
      </c>
      <c r="C291">
        <v>14930</v>
      </c>
      <c r="D291">
        <v>2150</v>
      </c>
      <c r="E291">
        <v>12</v>
      </c>
      <c r="F291">
        <v>1.28</v>
      </c>
      <c r="G291">
        <v>6.4</v>
      </c>
      <c r="H291">
        <v>96</v>
      </c>
      <c r="I291">
        <v>96</v>
      </c>
      <c r="J291">
        <v>96</v>
      </c>
      <c r="K291">
        <v>96</v>
      </c>
      <c r="L291">
        <v>0</v>
      </c>
      <c r="M291">
        <v>4</v>
      </c>
      <c r="N291" t="s">
        <v>22</v>
      </c>
      <c r="O291" s="8">
        <v>53.13</v>
      </c>
      <c r="P291" s="7">
        <v>-132.4</v>
      </c>
    </row>
    <row r="292" spans="1:16">
      <c r="A292">
        <v>2009</v>
      </c>
      <c r="B292">
        <v>5</v>
      </c>
      <c r="C292">
        <v>7662</v>
      </c>
      <c r="D292">
        <v>1058</v>
      </c>
      <c r="E292">
        <v>14</v>
      </c>
      <c r="F292">
        <v>0.8</v>
      </c>
      <c r="G292">
        <v>5.9</v>
      </c>
      <c r="H292">
        <v>97.4</v>
      </c>
      <c r="I292">
        <v>103.4</v>
      </c>
      <c r="J292">
        <v>94</v>
      </c>
      <c r="K292">
        <v>111</v>
      </c>
      <c r="L292">
        <v>0</v>
      </c>
      <c r="M292">
        <v>4</v>
      </c>
      <c r="N292" t="s">
        <v>22</v>
      </c>
      <c r="O292" s="8">
        <v>53.13</v>
      </c>
      <c r="P292" s="7">
        <v>-132.4</v>
      </c>
    </row>
    <row r="293" spans="1:16">
      <c r="A293">
        <v>2010</v>
      </c>
      <c r="B293">
        <v>2</v>
      </c>
      <c r="C293">
        <v>3947</v>
      </c>
      <c r="D293">
        <v>700</v>
      </c>
      <c r="E293">
        <v>8</v>
      </c>
      <c r="F293">
        <v>2.17</v>
      </c>
      <c r="G293" t="s">
        <v>0</v>
      </c>
      <c r="H293">
        <v>107</v>
      </c>
      <c r="I293">
        <v>106.6</v>
      </c>
      <c r="J293">
        <v>104</v>
      </c>
      <c r="K293">
        <v>110</v>
      </c>
      <c r="L293">
        <v>100</v>
      </c>
      <c r="M293">
        <v>4</v>
      </c>
      <c r="N293" t="s">
        <v>22</v>
      </c>
      <c r="O293" s="8">
        <v>53.13</v>
      </c>
      <c r="P293" s="7">
        <v>-132.4</v>
      </c>
    </row>
    <row r="294" spans="1:16">
      <c r="A294">
        <v>2011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>
        <v>0</v>
      </c>
      <c r="M294">
        <v>4</v>
      </c>
      <c r="N294" t="s">
        <v>22</v>
      </c>
      <c r="O294" s="8">
        <v>53.13</v>
      </c>
      <c r="P294" s="7">
        <v>-132.4</v>
      </c>
    </row>
    <row r="295" spans="1:16">
      <c r="A295">
        <v>2012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>
        <v>0</v>
      </c>
      <c r="M295">
        <v>4</v>
      </c>
      <c r="N295" t="s">
        <v>22</v>
      </c>
      <c r="O295" s="8">
        <v>53.13</v>
      </c>
      <c r="P295" s="7">
        <v>-132.4</v>
      </c>
    </row>
    <row r="296" spans="1:16">
      <c r="A296">
        <v>2013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>
        <v>0</v>
      </c>
      <c r="M296">
        <v>4</v>
      </c>
      <c r="N296" t="s">
        <v>22</v>
      </c>
      <c r="O296" s="8">
        <v>53.13</v>
      </c>
      <c r="P296" s="7">
        <v>-132.4</v>
      </c>
    </row>
    <row r="297" spans="1:16">
      <c r="A297">
        <v>1940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>
        <v>0</v>
      </c>
      <c r="M297">
        <v>5</v>
      </c>
      <c r="N297" t="s">
        <v>24</v>
      </c>
      <c r="O297" s="8">
        <v>53.008499999999998</v>
      </c>
      <c r="P297" s="8">
        <v>-132.22999999999999</v>
      </c>
    </row>
    <row r="298" spans="1:16">
      <c r="A298">
        <v>1941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>
        <v>0</v>
      </c>
      <c r="M298">
        <v>5</v>
      </c>
      <c r="N298" t="s">
        <v>24</v>
      </c>
      <c r="O298" s="8">
        <v>53.008499999999998</v>
      </c>
      <c r="P298" s="8">
        <v>-132.22999999999999</v>
      </c>
    </row>
    <row r="299" spans="1:16">
      <c r="A299">
        <v>1942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>
        <v>0</v>
      </c>
      <c r="M299">
        <v>5</v>
      </c>
      <c r="N299" t="s">
        <v>24</v>
      </c>
      <c r="O299" s="8">
        <v>53.008499999999998</v>
      </c>
      <c r="P299" s="8">
        <v>-132.22999999999999</v>
      </c>
    </row>
    <row r="300" spans="1:16">
      <c r="A300">
        <v>1943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>
        <v>0</v>
      </c>
      <c r="M300">
        <v>5</v>
      </c>
      <c r="N300" t="s">
        <v>24</v>
      </c>
      <c r="O300" s="8">
        <v>53.008499999999998</v>
      </c>
      <c r="P300" s="8">
        <v>-132.22999999999999</v>
      </c>
    </row>
    <row r="301" spans="1:16">
      <c r="A301">
        <v>1944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>
        <v>0</v>
      </c>
      <c r="M301">
        <v>5</v>
      </c>
      <c r="N301" t="s">
        <v>24</v>
      </c>
      <c r="O301" s="8">
        <v>53.008499999999998</v>
      </c>
      <c r="P301" s="8">
        <v>-132.22999999999999</v>
      </c>
    </row>
    <row r="302" spans="1:16">
      <c r="A302">
        <v>1945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>
        <v>0</v>
      </c>
      <c r="M302">
        <v>5</v>
      </c>
      <c r="N302" t="s">
        <v>24</v>
      </c>
      <c r="O302" s="8">
        <v>53.008499999999998</v>
      </c>
      <c r="P302" s="8">
        <v>-132.22999999999999</v>
      </c>
    </row>
    <row r="303" spans="1:16">
      <c r="A303">
        <v>1946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>
        <v>0</v>
      </c>
      <c r="M303">
        <v>5</v>
      </c>
      <c r="N303" t="s">
        <v>24</v>
      </c>
      <c r="O303" s="8">
        <v>53.008499999999998</v>
      </c>
      <c r="P303" s="8">
        <v>-132.22999999999999</v>
      </c>
    </row>
    <row r="304" spans="1:16">
      <c r="A304">
        <v>1947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>
        <v>0</v>
      </c>
      <c r="M304">
        <v>5</v>
      </c>
      <c r="N304" t="s">
        <v>24</v>
      </c>
      <c r="O304" s="8">
        <v>53.008499999999998</v>
      </c>
      <c r="P304" s="8">
        <v>-132.22999999999999</v>
      </c>
    </row>
    <row r="305" spans="1:16">
      <c r="A305">
        <v>1948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>
        <v>0</v>
      </c>
      <c r="M305">
        <v>5</v>
      </c>
      <c r="N305" t="s">
        <v>24</v>
      </c>
      <c r="O305" s="8">
        <v>53.008499999999998</v>
      </c>
      <c r="P305" s="8">
        <v>-132.22999999999999</v>
      </c>
    </row>
    <row r="306" spans="1:16">
      <c r="A306">
        <v>1949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>
        <v>0</v>
      </c>
      <c r="M306">
        <v>5</v>
      </c>
      <c r="N306" t="s">
        <v>24</v>
      </c>
      <c r="O306" s="8">
        <v>53.008499999999998</v>
      </c>
      <c r="P306" s="8">
        <v>-132.22999999999999</v>
      </c>
    </row>
    <row r="307" spans="1:16">
      <c r="A307">
        <v>1950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>
        <v>0</v>
      </c>
      <c r="M307">
        <v>5</v>
      </c>
      <c r="N307" t="s">
        <v>24</v>
      </c>
      <c r="O307" s="8">
        <v>53.008499999999998</v>
      </c>
      <c r="P307" s="8">
        <v>-132.22999999999999</v>
      </c>
    </row>
    <row r="308" spans="1:16">
      <c r="A308">
        <v>1951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>
        <v>0</v>
      </c>
      <c r="M308">
        <v>5</v>
      </c>
      <c r="N308" t="s">
        <v>24</v>
      </c>
      <c r="O308" s="8">
        <v>53.008499999999998</v>
      </c>
      <c r="P308" s="8">
        <v>-132.22999999999999</v>
      </c>
    </row>
    <row r="309" spans="1:16">
      <c r="A309">
        <v>1952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>
        <v>0</v>
      </c>
      <c r="M309">
        <v>5</v>
      </c>
      <c r="N309" t="s">
        <v>24</v>
      </c>
      <c r="O309" s="8">
        <v>53.008499999999998</v>
      </c>
      <c r="P309" s="8">
        <v>-132.22999999999999</v>
      </c>
    </row>
    <row r="310" spans="1:16">
      <c r="A310">
        <v>1953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>
        <v>0</v>
      </c>
      <c r="M310">
        <v>5</v>
      </c>
      <c r="N310" t="s">
        <v>24</v>
      </c>
      <c r="O310" s="8">
        <v>53.008499999999998</v>
      </c>
      <c r="P310" s="8">
        <v>-132.22999999999999</v>
      </c>
    </row>
    <row r="311" spans="1:16">
      <c r="A311">
        <v>1954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>
        <v>0</v>
      </c>
      <c r="M311">
        <v>5</v>
      </c>
      <c r="N311" t="s">
        <v>24</v>
      </c>
      <c r="O311" s="8">
        <v>53.008499999999998</v>
      </c>
      <c r="P311" s="8">
        <v>-132.22999999999999</v>
      </c>
    </row>
    <row r="312" spans="1:16">
      <c r="A312">
        <v>1955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>
        <v>0</v>
      </c>
      <c r="M312">
        <v>5</v>
      </c>
      <c r="N312" t="s">
        <v>24</v>
      </c>
      <c r="O312" s="8">
        <v>53.008499999999998</v>
      </c>
      <c r="P312" s="8">
        <v>-132.22999999999999</v>
      </c>
    </row>
    <row r="313" spans="1:16">
      <c r="A313">
        <v>1956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>
        <v>0</v>
      </c>
      <c r="M313">
        <v>5</v>
      </c>
      <c r="N313" t="s">
        <v>24</v>
      </c>
      <c r="O313" s="8">
        <v>53.008499999999998</v>
      </c>
      <c r="P313" s="8">
        <v>-132.22999999999999</v>
      </c>
    </row>
    <row r="314" spans="1:16">
      <c r="A314">
        <v>1957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>
        <v>0</v>
      </c>
      <c r="M314">
        <v>5</v>
      </c>
      <c r="N314" t="s">
        <v>24</v>
      </c>
      <c r="O314" s="8">
        <v>53.008499999999998</v>
      </c>
      <c r="P314" s="8">
        <v>-132.22999999999999</v>
      </c>
    </row>
    <row r="315" spans="1:16">
      <c r="A315">
        <v>1958</v>
      </c>
      <c r="B315">
        <v>1</v>
      </c>
      <c r="C315">
        <v>2269</v>
      </c>
      <c r="D315">
        <v>229</v>
      </c>
      <c r="E315">
        <v>3</v>
      </c>
      <c r="F315">
        <v>0.55000000000000004</v>
      </c>
      <c r="G315">
        <v>8.6999999999999993</v>
      </c>
      <c r="H315">
        <v>95</v>
      </c>
      <c r="I315">
        <v>95</v>
      </c>
      <c r="J315">
        <v>95</v>
      </c>
      <c r="K315">
        <v>95</v>
      </c>
      <c r="L315">
        <v>0</v>
      </c>
      <c r="M315">
        <v>5</v>
      </c>
      <c r="N315" t="s">
        <v>24</v>
      </c>
      <c r="O315" s="8">
        <v>53.008499999999998</v>
      </c>
      <c r="P315" s="8">
        <v>-132.22999999999999</v>
      </c>
    </row>
    <row r="316" spans="1:16">
      <c r="A316">
        <v>1959</v>
      </c>
      <c r="B316">
        <v>1</v>
      </c>
      <c r="C316">
        <v>40712</v>
      </c>
      <c r="D316">
        <v>3656</v>
      </c>
      <c r="E316">
        <v>7</v>
      </c>
      <c r="F316">
        <v>2.15</v>
      </c>
      <c r="G316">
        <v>7.5</v>
      </c>
      <c r="H316">
        <v>100</v>
      </c>
      <c r="I316">
        <v>100</v>
      </c>
      <c r="J316">
        <v>100</v>
      </c>
      <c r="K316">
        <v>100</v>
      </c>
      <c r="L316">
        <v>0</v>
      </c>
      <c r="M316">
        <v>5</v>
      </c>
      <c r="N316" t="s">
        <v>24</v>
      </c>
      <c r="O316" s="8">
        <v>53.008499999999998</v>
      </c>
      <c r="P316" s="8">
        <v>-132.22999999999999</v>
      </c>
    </row>
    <row r="317" spans="1:16">
      <c r="A317">
        <v>1960</v>
      </c>
      <c r="B317">
        <v>1</v>
      </c>
      <c r="C317">
        <v>2550</v>
      </c>
      <c r="D317">
        <v>229</v>
      </c>
      <c r="E317">
        <v>32</v>
      </c>
      <c r="F317">
        <v>4.13</v>
      </c>
      <c r="G317">
        <v>5.5</v>
      </c>
      <c r="H317">
        <v>95</v>
      </c>
      <c r="I317">
        <v>95</v>
      </c>
      <c r="J317">
        <v>95</v>
      </c>
      <c r="K317">
        <v>95</v>
      </c>
      <c r="L317">
        <v>0</v>
      </c>
      <c r="M317">
        <v>5</v>
      </c>
      <c r="N317" t="s">
        <v>24</v>
      </c>
      <c r="O317" s="8">
        <v>53.008499999999998</v>
      </c>
      <c r="P317" s="8">
        <v>-132.22999999999999</v>
      </c>
    </row>
    <row r="318" spans="1:16">
      <c r="A318">
        <v>1961</v>
      </c>
      <c r="B318">
        <v>1</v>
      </c>
      <c r="C318">
        <v>13587</v>
      </c>
      <c r="D318">
        <v>1371</v>
      </c>
      <c r="E318">
        <v>27</v>
      </c>
      <c r="F318">
        <v>1.34</v>
      </c>
      <c r="G318">
        <v>7.4</v>
      </c>
      <c r="H318">
        <v>87</v>
      </c>
      <c r="I318">
        <v>87</v>
      </c>
      <c r="J318">
        <v>87</v>
      </c>
      <c r="K318">
        <v>87</v>
      </c>
      <c r="L318">
        <v>0</v>
      </c>
      <c r="M318">
        <v>5</v>
      </c>
      <c r="N318" t="s">
        <v>24</v>
      </c>
      <c r="O318" s="8">
        <v>53.008499999999998</v>
      </c>
      <c r="P318" s="8">
        <v>-132.22999999999999</v>
      </c>
    </row>
    <row r="319" spans="1:16">
      <c r="A319">
        <v>1962</v>
      </c>
      <c r="B319">
        <v>3</v>
      </c>
      <c r="C319">
        <v>12685</v>
      </c>
      <c r="D319">
        <v>1280</v>
      </c>
      <c r="E319">
        <v>11</v>
      </c>
      <c r="F319">
        <v>1.08</v>
      </c>
      <c r="G319">
        <v>6.1</v>
      </c>
      <c r="H319">
        <v>87</v>
      </c>
      <c r="I319">
        <v>86.7</v>
      </c>
      <c r="J319">
        <v>86</v>
      </c>
      <c r="K319">
        <v>88</v>
      </c>
      <c r="L319">
        <v>0</v>
      </c>
      <c r="M319">
        <v>5</v>
      </c>
      <c r="N319" t="s">
        <v>24</v>
      </c>
      <c r="O319" s="8">
        <v>53.008499999999998</v>
      </c>
      <c r="P319" s="8">
        <v>-132.22999999999999</v>
      </c>
    </row>
    <row r="320" spans="1:16">
      <c r="A320">
        <v>1963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>
        <v>0</v>
      </c>
      <c r="M320">
        <v>5</v>
      </c>
      <c r="N320" t="s">
        <v>24</v>
      </c>
      <c r="O320" s="8">
        <v>53.008499999999998</v>
      </c>
      <c r="P320" s="8">
        <v>-132.22999999999999</v>
      </c>
    </row>
    <row r="321" spans="1:16">
      <c r="A321">
        <v>1964</v>
      </c>
      <c r="B321">
        <v>2</v>
      </c>
      <c r="C321">
        <v>5897</v>
      </c>
      <c r="D321">
        <v>595</v>
      </c>
      <c r="E321">
        <v>23</v>
      </c>
      <c r="F321">
        <v>1.76</v>
      </c>
      <c r="G321">
        <v>6.5</v>
      </c>
      <c r="H321">
        <v>93.5</v>
      </c>
      <c r="I321">
        <v>96.1</v>
      </c>
      <c r="J321">
        <v>82</v>
      </c>
      <c r="K321">
        <v>105</v>
      </c>
      <c r="L321">
        <v>0</v>
      </c>
      <c r="M321">
        <v>5</v>
      </c>
      <c r="N321" t="s">
        <v>24</v>
      </c>
      <c r="O321" s="8">
        <v>53.008499999999998</v>
      </c>
      <c r="P321" s="8">
        <v>-132.22999999999999</v>
      </c>
    </row>
    <row r="322" spans="1:16">
      <c r="A322">
        <v>1965</v>
      </c>
      <c r="B322">
        <v>1</v>
      </c>
      <c r="C322">
        <v>15400</v>
      </c>
      <c r="D322">
        <v>1554</v>
      </c>
      <c r="E322">
        <v>9</v>
      </c>
      <c r="F322">
        <v>2.96</v>
      </c>
      <c r="G322">
        <v>6.4</v>
      </c>
      <c r="H322">
        <v>103</v>
      </c>
      <c r="I322">
        <v>103</v>
      </c>
      <c r="J322">
        <v>103</v>
      </c>
      <c r="K322">
        <v>103</v>
      </c>
      <c r="L322">
        <v>0</v>
      </c>
      <c r="M322">
        <v>5</v>
      </c>
      <c r="N322" t="s">
        <v>24</v>
      </c>
      <c r="O322" s="8">
        <v>53.008499999999998</v>
      </c>
      <c r="P322" s="8">
        <v>-132.22999999999999</v>
      </c>
    </row>
    <row r="323" spans="1:16">
      <c r="A323">
        <v>1966</v>
      </c>
      <c r="B323">
        <v>1</v>
      </c>
      <c r="C323">
        <v>902</v>
      </c>
      <c r="D323">
        <v>91</v>
      </c>
      <c r="E323">
        <v>9</v>
      </c>
      <c r="F323">
        <v>0.55000000000000004</v>
      </c>
      <c r="G323">
        <v>6.4</v>
      </c>
      <c r="H323">
        <v>104</v>
      </c>
      <c r="I323">
        <v>104</v>
      </c>
      <c r="J323">
        <v>104</v>
      </c>
      <c r="K323">
        <v>104</v>
      </c>
      <c r="L323">
        <v>0</v>
      </c>
      <c r="M323">
        <v>5</v>
      </c>
      <c r="N323" t="s">
        <v>24</v>
      </c>
      <c r="O323" s="8">
        <v>53.008499999999998</v>
      </c>
      <c r="P323" s="8">
        <v>-132.22999999999999</v>
      </c>
    </row>
    <row r="324" spans="1:16">
      <c r="A324">
        <v>1967</v>
      </c>
      <c r="B324">
        <v>2</v>
      </c>
      <c r="C324">
        <v>4529</v>
      </c>
      <c r="D324">
        <v>457</v>
      </c>
      <c r="E324">
        <v>12</v>
      </c>
      <c r="F324">
        <v>2.96</v>
      </c>
      <c r="G324">
        <v>5.7</v>
      </c>
      <c r="H324">
        <v>86</v>
      </c>
      <c r="I324">
        <v>86</v>
      </c>
      <c r="J324">
        <v>86</v>
      </c>
      <c r="K324">
        <v>86</v>
      </c>
      <c r="L324">
        <v>0</v>
      </c>
      <c r="M324">
        <v>5</v>
      </c>
      <c r="N324" t="s">
        <v>24</v>
      </c>
      <c r="O324" s="8">
        <v>53.008499999999998</v>
      </c>
      <c r="P324" s="8">
        <v>-132.22999999999999</v>
      </c>
    </row>
    <row r="325" spans="1:16">
      <c r="A325">
        <v>1968</v>
      </c>
      <c r="B325">
        <v>3</v>
      </c>
      <c r="C325">
        <v>3171</v>
      </c>
      <c r="D325">
        <v>320</v>
      </c>
      <c r="E325">
        <v>9</v>
      </c>
      <c r="F325">
        <v>1.34</v>
      </c>
      <c r="G325">
        <v>6.4</v>
      </c>
      <c r="H325">
        <v>95</v>
      </c>
      <c r="I325">
        <v>96.2</v>
      </c>
      <c r="J325">
        <v>79</v>
      </c>
      <c r="K325">
        <v>103</v>
      </c>
      <c r="L325">
        <v>0</v>
      </c>
      <c r="M325">
        <v>5</v>
      </c>
      <c r="N325" t="s">
        <v>24</v>
      </c>
      <c r="O325" s="8">
        <v>53.008499999999998</v>
      </c>
      <c r="P325" s="8">
        <v>-132.22999999999999</v>
      </c>
    </row>
    <row r="326" spans="1:16">
      <c r="A326">
        <v>1969</v>
      </c>
      <c r="B326">
        <v>2</v>
      </c>
      <c r="C326">
        <v>31892</v>
      </c>
      <c r="D326">
        <v>2879</v>
      </c>
      <c r="E326">
        <v>7</v>
      </c>
      <c r="F326">
        <v>1.76</v>
      </c>
      <c r="G326">
        <v>7.1</v>
      </c>
      <c r="H326">
        <v>102</v>
      </c>
      <c r="I326">
        <v>106.6</v>
      </c>
      <c r="J326">
        <v>97</v>
      </c>
      <c r="K326">
        <v>107</v>
      </c>
      <c r="L326">
        <v>0</v>
      </c>
      <c r="M326">
        <v>5</v>
      </c>
      <c r="N326" t="s">
        <v>24</v>
      </c>
      <c r="O326" s="8">
        <v>53.008499999999998</v>
      </c>
      <c r="P326" s="8">
        <v>-132.22999999999999</v>
      </c>
    </row>
    <row r="327" spans="1:16">
      <c r="A327">
        <v>1970</v>
      </c>
      <c r="B327">
        <v>8</v>
      </c>
      <c r="C327">
        <v>31035</v>
      </c>
      <c r="D327">
        <v>2787</v>
      </c>
      <c r="E327">
        <v>6</v>
      </c>
      <c r="F327">
        <v>2.63</v>
      </c>
      <c r="G327">
        <v>7.4</v>
      </c>
      <c r="H327">
        <v>93</v>
      </c>
      <c r="I327">
        <v>93</v>
      </c>
      <c r="J327">
        <v>93</v>
      </c>
      <c r="K327">
        <v>93</v>
      </c>
      <c r="L327">
        <v>0</v>
      </c>
      <c r="M327">
        <v>5</v>
      </c>
      <c r="N327" t="s">
        <v>24</v>
      </c>
      <c r="O327" s="8">
        <v>53.008499999999998</v>
      </c>
      <c r="P327" s="8">
        <v>-132.22999999999999</v>
      </c>
    </row>
    <row r="328" spans="1:16">
      <c r="A328">
        <v>1971</v>
      </c>
      <c r="B328">
        <v>7</v>
      </c>
      <c r="C328">
        <v>23914</v>
      </c>
      <c r="D328">
        <v>2238</v>
      </c>
      <c r="E328">
        <v>9</v>
      </c>
      <c r="F328">
        <v>1.91</v>
      </c>
      <c r="G328">
        <v>6.8</v>
      </c>
      <c r="H328">
        <v>102</v>
      </c>
      <c r="I328">
        <v>102</v>
      </c>
      <c r="J328">
        <v>102</v>
      </c>
      <c r="K328">
        <v>102</v>
      </c>
      <c r="L328">
        <v>0</v>
      </c>
      <c r="M328">
        <v>5</v>
      </c>
      <c r="N328" t="s">
        <v>24</v>
      </c>
      <c r="O328" s="8">
        <v>53.008499999999998</v>
      </c>
      <c r="P328" s="8">
        <v>-132.22999999999999</v>
      </c>
    </row>
    <row r="329" spans="1:16">
      <c r="A329">
        <v>1972</v>
      </c>
      <c r="B329">
        <v>9</v>
      </c>
      <c r="C329">
        <v>67801</v>
      </c>
      <c r="D329">
        <v>6169</v>
      </c>
      <c r="E329">
        <v>12</v>
      </c>
      <c r="F329">
        <v>2.78</v>
      </c>
      <c r="G329">
        <v>5.9</v>
      </c>
      <c r="H329">
        <v>115</v>
      </c>
      <c r="I329">
        <v>114.6</v>
      </c>
      <c r="J329">
        <v>107</v>
      </c>
      <c r="K329">
        <v>119</v>
      </c>
      <c r="L329">
        <v>0</v>
      </c>
      <c r="M329">
        <v>5</v>
      </c>
      <c r="N329" t="s">
        <v>24</v>
      </c>
      <c r="O329" s="8">
        <v>53.008499999999998</v>
      </c>
      <c r="P329" s="8">
        <v>-132.22999999999999</v>
      </c>
    </row>
    <row r="330" spans="1:16">
      <c r="A330">
        <v>1973</v>
      </c>
      <c r="B330">
        <v>4</v>
      </c>
      <c r="C330">
        <v>68496</v>
      </c>
      <c r="D330">
        <v>6151</v>
      </c>
      <c r="E330">
        <v>8</v>
      </c>
      <c r="F330">
        <v>2.54</v>
      </c>
      <c r="G330">
        <v>7.3</v>
      </c>
      <c r="H330">
        <v>99</v>
      </c>
      <c r="I330">
        <v>99</v>
      </c>
      <c r="J330">
        <v>99</v>
      </c>
      <c r="K330">
        <v>99</v>
      </c>
      <c r="L330">
        <v>0</v>
      </c>
      <c r="M330">
        <v>5</v>
      </c>
      <c r="N330" t="s">
        <v>24</v>
      </c>
      <c r="O330" s="8">
        <v>53.008499999999998</v>
      </c>
      <c r="P330" s="8">
        <v>-132.22999999999999</v>
      </c>
    </row>
    <row r="331" spans="1:16">
      <c r="A331">
        <v>1974</v>
      </c>
      <c r="B331">
        <v>12</v>
      </c>
      <c r="C331">
        <v>101253</v>
      </c>
      <c r="D331">
        <v>10008</v>
      </c>
      <c r="E331">
        <v>9</v>
      </c>
      <c r="F331">
        <v>2.15</v>
      </c>
      <c r="G331">
        <v>6.8</v>
      </c>
      <c r="H331">
        <v>91.6</v>
      </c>
      <c r="I331">
        <v>87.3</v>
      </c>
      <c r="J331">
        <v>80</v>
      </c>
      <c r="K331">
        <v>99</v>
      </c>
      <c r="L331">
        <v>0</v>
      </c>
      <c r="M331">
        <v>5</v>
      </c>
      <c r="N331" t="s">
        <v>24</v>
      </c>
      <c r="O331" s="8">
        <v>53.008499999999998</v>
      </c>
      <c r="P331" s="8">
        <v>-132.22999999999999</v>
      </c>
    </row>
    <row r="332" spans="1:16">
      <c r="A332">
        <v>1975</v>
      </c>
      <c r="B332">
        <v>2</v>
      </c>
      <c r="C332">
        <v>61069</v>
      </c>
      <c r="D332">
        <v>5484</v>
      </c>
      <c r="E332">
        <v>9</v>
      </c>
      <c r="F332">
        <v>2.15</v>
      </c>
      <c r="G332">
        <v>6.6</v>
      </c>
      <c r="H332">
        <v>106</v>
      </c>
      <c r="I332">
        <v>106</v>
      </c>
      <c r="J332">
        <v>106</v>
      </c>
      <c r="K332">
        <v>106</v>
      </c>
      <c r="L332">
        <v>0</v>
      </c>
      <c r="M332">
        <v>5</v>
      </c>
      <c r="N332" t="s">
        <v>24</v>
      </c>
      <c r="O332" s="8">
        <v>53.008499999999998</v>
      </c>
      <c r="P332" s="8">
        <v>-132.22999999999999</v>
      </c>
    </row>
    <row r="333" spans="1:16">
      <c r="A333">
        <v>1976</v>
      </c>
      <c r="B333">
        <v>5</v>
      </c>
      <c r="C333">
        <v>74298</v>
      </c>
      <c r="D333">
        <v>6672</v>
      </c>
      <c r="E333">
        <v>6</v>
      </c>
      <c r="F333">
        <v>2.31</v>
      </c>
      <c r="G333">
        <v>6.5</v>
      </c>
      <c r="H333">
        <v>103</v>
      </c>
      <c r="I333">
        <v>103</v>
      </c>
      <c r="J333">
        <v>103</v>
      </c>
      <c r="K333">
        <v>103</v>
      </c>
      <c r="L333">
        <v>0</v>
      </c>
      <c r="M333">
        <v>5</v>
      </c>
      <c r="N333" t="s">
        <v>24</v>
      </c>
      <c r="O333" s="8">
        <v>53.008499999999998</v>
      </c>
      <c r="P333" s="8">
        <v>-132.22999999999999</v>
      </c>
    </row>
    <row r="334" spans="1:16">
      <c r="A334">
        <v>1977</v>
      </c>
      <c r="B334">
        <v>5</v>
      </c>
      <c r="C334">
        <v>79899</v>
      </c>
      <c r="D334">
        <v>7175</v>
      </c>
      <c r="E334">
        <v>16</v>
      </c>
      <c r="F334">
        <v>4</v>
      </c>
      <c r="G334">
        <v>7.3</v>
      </c>
      <c r="H334">
        <v>95</v>
      </c>
      <c r="I334">
        <v>95</v>
      </c>
      <c r="J334">
        <v>95</v>
      </c>
      <c r="K334">
        <v>95</v>
      </c>
      <c r="L334">
        <v>0</v>
      </c>
      <c r="M334">
        <v>5</v>
      </c>
      <c r="N334" t="s">
        <v>24</v>
      </c>
      <c r="O334" s="8">
        <v>53.008499999999998</v>
      </c>
      <c r="P334" s="8">
        <v>-132.22999999999999</v>
      </c>
    </row>
    <row r="335" spans="1:16">
      <c r="A335">
        <v>1978</v>
      </c>
      <c r="B335">
        <v>4</v>
      </c>
      <c r="C335">
        <v>79387</v>
      </c>
      <c r="D335">
        <v>7129</v>
      </c>
      <c r="E335">
        <v>9</v>
      </c>
      <c r="F335">
        <v>2.25</v>
      </c>
      <c r="G335">
        <v>7.1</v>
      </c>
      <c r="H335">
        <v>90</v>
      </c>
      <c r="I335">
        <v>90</v>
      </c>
      <c r="J335">
        <v>90</v>
      </c>
      <c r="K335">
        <v>90</v>
      </c>
      <c r="L335">
        <v>0</v>
      </c>
      <c r="M335">
        <v>5</v>
      </c>
      <c r="N335" t="s">
        <v>24</v>
      </c>
      <c r="O335" s="8">
        <v>53.008499999999998</v>
      </c>
      <c r="P335" s="8">
        <v>-132.22999999999999</v>
      </c>
    </row>
    <row r="336" spans="1:16">
      <c r="A336">
        <v>1979</v>
      </c>
      <c r="B336">
        <v>11</v>
      </c>
      <c r="C336">
        <v>11180</v>
      </c>
      <c r="D336">
        <v>1004</v>
      </c>
      <c r="E336">
        <v>12</v>
      </c>
      <c r="F336">
        <v>1.77</v>
      </c>
      <c r="G336">
        <v>6.2</v>
      </c>
      <c r="H336">
        <v>88</v>
      </c>
      <c r="I336">
        <v>88</v>
      </c>
      <c r="J336">
        <v>88</v>
      </c>
      <c r="K336">
        <v>88</v>
      </c>
      <c r="L336">
        <v>0</v>
      </c>
      <c r="M336">
        <v>5</v>
      </c>
      <c r="N336" t="s">
        <v>24</v>
      </c>
      <c r="O336" s="8">
        <v>53.008499999999998</v>
      </c>
      <c r="P336" s="8">
        <v>-132.22999999999999</v>
      </c>
    </row>
    <row r="337" spans="1:16">
      <c r="A337">
        <v>1980</v>
      </c>
      <c r="B337">
        <v>13</v>
      </c>
      <c r="C337">
        <v>72060</v>
      </c>
      <c r="D337">
        <v>6471</v>
      </c>
      <c r="E337">
        <v>7</v>
      </c>
      <c r="F337">
        <v>3.25</v>
      </c>
      <c r="G337">
        <v>6.8</v>
      </c>
      <c r="H337">
        <v>87.5</v>
      </c>
      <c r="I337">
        <v>86.8</v>
      </c>
      <c r="J337">
        <v>82</v>
      </c>
      <c r="K337">
        <v>94</v>
      </c>
      <c r="L337">
        <v>0</v>
      </c>
      <c r="M337">
        <v>5</v>
      </c>
      <c r="N337" t="s">
        <v>24</v>
      </c>
      <c r="O337" s="8">
        <v>53.008499999999998</v>
      </c>
      <c r="P337" s="8">
        <v>-132.22999999999999</v>
      </c>
    </row>
    <row r="338" spans="1:16">
      <c r="A338">
        <v>1981</v>
      </c>
      <c r="B338">
        <v>3</v>
      </c>
      <c r="C338">
        <v>38675</v>
      </c>
      <c r="D338">
        <v>3473</v>
      </c>
      <c r="E338">
        <v>9</v>
      </c>
      <c r="F338">
        <v>0.83</v>
      </c>
      <c r="G338">
        <v>7.7</v>
      </c>
      <c r="H338">
        <v>91</v>
      </c>
      <c r="I338">
        <v>91</v>
      </c>
      <c r="J338">
        <v>91</v>
      </c>
      <c r="K338">
        <v>91</v>
      </c>
      <c r="L338">
        <v>0</v>
      </c>
      <c r="M338">
        <v>5</v>
      </c>
      <c r="N338" t="s">
        <v>24</v>
      </c>
      <c r="O338" s="8">
        <v>53.008499999999998</v>
      </c>
      <c r="P338" s="8">
        <v>-132.22999999999999</v>
      </c>
    </row>
    <row r="339" spans="1:16">
      <c r="A339">
        <v>1982</v>
      </c>
      <c r="B339">
        <v>10</v>
      </c>
      <c r="C339">
        <v>109598</v>
      </c>
      <c r="D339">
        <v>9842</v>
      </c>
      <c r="E339">
        <v>27</v>
      </c>
      <c r="F339">
        <v>2.19</v>
      </c>
      <c r="G339">
        <v>6.2</v>
      </c>
      <c r="H339">
        <v>95</v>
      </c>
      <c r="I339">
        <v>95</v>
      </c>
      <c r="J339">
        <v>95</v>
      </c>
      <c r="K339">
        <v>95</v>
      </c>
      <c r="L339">
        <v>0</v>
      </c>
      <c r="M339">
        <v>5</v>
      </c>
      <c r="N339" t="s">
        <v>24</v>
      </c>
      <c r="O339" s="8">
        <v>53.008499999999998</v>
      </c>
      <c r="P339" s="8">
        <v>-132.22999999999999</v>
      </c>
    </row>
    <row r="340" spans="1:16">
      <c r="A340">
        <v>1983</v>
      </c>
      <c r="B340">
        <v>9</v>
      </c>
      <c r="C340">
        <v>86859</v>
      </c>
      <c r="D340">
        <v>7800</v>
      </c>
      <c r="E340">
        <v>14</v>
      </c>
      <c r="F340">
        <v>4.6100000000000003</v>
      </c>
      <c r="G340">
        <v>8.3000000000000007</v>
      </c>
      <c r="H340">
        <v>97</v>
      </c>
      <c r="I340">
        <v>97</v>
      </c>
      <c r="J340">
        <v>97</v>
      </c>
      <c r="K340">
        <v>97</v>
      </c>
      <c r="L340">
        <v>0</v>
      </c>
      <c r="M340">
        <v>5</v>
      </c>
      <c r="N340" t="s">
        <v>24</v>
      </c>
      <c r="O340" s="8">
        <v>53.008499999999998</v>
      </c>
      <c r="P340" s="8">
        <v>-132.22999999999999</v>
      </c>
    </row>
    <row r="341" spans="1:16">
      <c r="A341">
        <v>1984</v>
      </c>
      <c r="B341">
        <v>4</v>
      </c>
      <c r="C341">
        <v>59576</v>
      </c>
      <c r="D341">
        <v>5350</v>
      </c>
      <c r="E341">
        <v>11</v>
      </c>
      <c r="F341">
        <v>4</v>
      </c>
      <c r="G341">
        <v>7.9</v>
      </c>
      <c r="H341">
        <v>97</v>
      </c>
      <c r="I341">
        <v>97</v>
      </c>
      <c r="J341">
        <v>97</v>
      </c>
      <c r="K341">
        <v>97</v>
      </c>
      <c r="L341">
        <v>0</v>
      </c>
      <c r="M341">
        <v>5</v>
      </c>
      <c r="N341" t="s">
        <v>24</v>
      </c>
      <c r="O341" s="8">
        <v>53.008499999999998</v>
      </c>
      <c r="P341" s="8">
        <v>-132.22999999999999</v>
      </c>
    </row>
    <row r="342" spans="1:16">
      <c r="A342">
        <v>1985</v>
      </c>
      <c r="B342">
        <v>3</v>
      </c>
      <c r="C342">
        <v>91313</v>
      </c>
      <c r="D342">
        <v>8200</v>
      </c>
      <c r="E342">
        <v>8</v>
      </c>
      <c r="F342">
        <v>1.42</v>
      </c>
      <c r="G342">
        <v>6.9</v>
      </c>
      <c r="H342">
        <v>92.3</v>
      </c>
      <c r="I342">
        <v>92.5</v>
      </c>
      <c r="J342">
        <v>91</v>
      </c>
      <c r="K342">
        <v>93</v>
      </c>
      <c r="L342">
        <v>0</v>
      </c>
      <c r="M342">
        <v>5</v>
      </c>
      <c r="N342" t="s">
        <v>24</v>
      </c>
      <c r="O342" s="8">
        <v>53.008499999999998</v>
      </c>
      <c r="P342" s="8">
        <v>-132.22999999999999</v>
      </c>
    </row>
    <row r="343" spans="1:16">
      <c r="A343">
        <v>1986</v>
      </c>
      <c r="B343">
        <v>6</v>
      </c>
      <c r="C343">
        <v>61247</v>
      </c>
      <c r="D343">
        <v>5500</v>
      </c>
      <c r="E343">
        <v>13</v>
      </c>
      <c r="F343">
        <v>1.5</v>
      </c>
      <c r="G343">
        <v>7.5</v>
      </c>
      <c r="H343">
        <v>105</v>
      </c>
      <c r="I343">
        <v>105</v>
      </c>
      <c r="J343">
        <v>105</v>
      </c>
      <c r="K343">
        <v>105</v>
      </c>
      <c r="L343">
        <v>0</v>
      </c>
      <c r="M343">
        <v>5</v>
      </c>
      <c r="N343" t="s">
        <v>24</v>
      </c>
      <c r="O343" s="8">
        <v>53.008499999999998</v>
      </c>
      <c r="P343" s="8">
        <v>-132.22999999999999</v>
      </c>
    </row>
    <row r="344" spans="1:16">
      <c r="A344">
        <v>1987</v>
      </c>
      <c r="B344">
        <v>4</v>
      </c>
      <c r="C344">
        <v>41202</v>
      </c>
      <c r="D344">
        <v>3700</v>
      </c>
      <c r="E344">
        <v>5</v>
      </c>
      <c r="F344">
        <v>0.88</v>
      </c>
      <c r="G344">
        <v>8</v>
      </c>
      <c r="H344">
        <v>98</v>
      </c>
      <c r="I344">
        <v>98</v>
      </c>
      <c r="J344">
        <v>98</v>
      </c>
      <c r="K344">
        <v>98</v>
      </c>
      <c r="L344">
        <v>0</v>
      </c>
      <c r="M344">
        <v>5</v>
      </c>
      <c r="N344" t="s">
        <v>24</v>
      </c>
      <c r="O344" s="8">
        <v>53.008499999999998</v>
      </c>
      <c r="P344" s="8">
        <v>-132.22999999999999</v>
      </c>
    </row>
    <row r="345" spans="1:16">
      <c r="A345">
        <v>1988</v>
      </c>
      <c r="B345">
        <v>7</v>
      </c>
      <c r="C345">
        <v>108017</v>
      </c>
      <c r="D345">
        <v>9700</v>
      </c>
      <c r="E345">
        <v>6</v>
      </c>
      <c r="F345">
        <v>1.07</v>
      </c>
      <c r="G345">
        <v>7.4</v>
      </c>
      <c r="H345">
        <v>110</v>
      </c>
      <c r="I345">
        <v>110</v>
      </c>
      <c r="J345">
        <v>110</v>
      </c>
      <c r="K345">
        <v>110</v>
      </c>
      <c r="L345">
        <v>0</v>
      </c>
      <c r="M345">
        <v>5</v>
      </c>
      <c r="N345" t="s">
        <v>24</v>
      </c>
      <c r="O345" s="8">
        <v>53.008499999999998</v>
      </c>
      <c r="P345" s="8">
        <v>-132.22999999999999</v>
      </c>
    </row>
    <row r="346" spans="1:16">
      <c r="A346">
        <v>1989</v>
      </c>
      <c r="B346">
        <v>10</v>
      </c>
      <c r="C346">
        <v>156680</v>
      </c>
      <c r="D346">
        <v>14070</v>
      </c>
      <c r="E346">
        <v>13</v>
      </c>
      <c r="F346">
        <v>1.64</v>
      </c>
      <c r="G346">
        <v>7.1</v>
      </c>
      <c r="H346">
        <v>111</v>
      </c>
      <c r="I346">
        <v>111</v>
      </c>
      <c r="J346">
        <v>111</v>
      </c>
      <c r="K346">
        <v>111</v>
      </c>
      <c r="L346">
        <v>0</v>
      </c>
      <c r="M346">
        <v>5</v>
      </c>
      <c r="N346" t="s">
        <v>24</v>
      </c>
      <c r="O346" s="8">
        <v>53.008499999999998</v>
      </c>
      <c r="P346" s="8">
        <v>-132.22999999999999</v>
      </c>
    </row>
    <row r="347" spans="1:16">
      <c r="A347">
        <v>1990</v>
      </c>
      <c r="B347">
        <v>8</v>
      </c>
      <c r="C347">
        <v>129064</v>
      </c>
      <c r="D347">
        <v>11590</v>
      </c>
      <c r="E347">
        <v>8</v>
      </c>
      <c r="F347">
        <v>1.1499999999999999</v>
      </c>
      <c r="G347">
        <v>6.8</v>
      </c>
      <c r="H347">
        <v>95</v>
      </c>
      <c r="I347">
        <v>95</v>
      </c>
      <c r="J347">
        <v>95</v>
      </c>
      <c r="K347">
        <v>95</v>
      </c>
      <c r="L347">
        <v>0</v>
      </c>
      <c r="M347">
        <v>5</v>
      </c>
      <c r="N347" t="s">
        <v>24</v>
      </c>
      <c r="O347" s="8">
        <v>53.008499999999998</v>
      </c>
      <c r="P347" s="8">
        <v>-132.22999999999999</v>
      </c>
    </row>
    <row r="348" spans="1:16">
      <c r="A348">
        <v>1991</v>
      </c>
      <c r="B348">
        <v>12</v>
      </c>
      <c r="C348">
        <v>56236</v>
      </c>
      <c r="D348">
        <v>5050</v>
      </c>
      <c r="E348">
        <v>14</v>
      </c>
      <c r="F348">
        <v>1.92</v>
      </c>
      <c r="G348">
        <v>6.9</v>
      </c>
      <c r="H348">
        <v>115</v>
      </c>
      <c r="I348">
        <v>115</v>
      </c>
      <c r="J348">
        <v>115</v>
      </c>
      <c r="K348">
        <v>115</v>
      </c>
      <c r="L348">
        <v>0</v>
      </c>
      <c r="M348">
        <v>5</v>
      </c>
      <c r="N348" t="s">
        <v>24</v>
      </c>
      <c r="O348" s="8">
        <v>53.008499999999998</v>
      </c>
      <c r="P348" s="8">
        <v>-132.22999999999999</v>
      </c>
    </row>
    <row r="349" spans="1:16">
      <c r="A349">
        <v>1992</v>
      </c>
      <c r="B349">
        <v>2</v>
      </c>
      <c r="C349">
        <v>44766</v>
      </c>
      <c r="D349">
        <v>4020</v>
      </c>
      <c r="E349">
        <v>41</v>
      </c>
      <c r="F349">
        <v>2.2200000000000002</v>
      </c>
      <c r="G349">
        <v>8.5</v>
      </c>
      <c r="H349">
        <v>97</v>
      </c>
      <c r="I349">
        <v>97</v>
      </c>
      <c r="J349">
        <v>97</v>
      </c>
      <c r="K349">
        <v>97</v>
      </c>
      <c r="L349">
        <v>100</v>
      </c>
      <c r="M349">
        <v>5</v>
      </c>
      <c r="N349" t="s">
        <v>24</v>
      </c>
      <c r="O349" s="8">
        <v>53.008499999999998</v>
      </c>
      <c r="P349" s="8">
        <v>-132.22999999999999</v>
      </c>
    </row>
    <row r="350" spans="1:16">
      <c r="A350">
        <v>1993</v>
      </c>
      <c r="B350">
        <v>1</v>
      </c>
      <c r="C350">
        <v>167</v>
      </c>
      <c r="D350">
        <v>15</v>
      </c>
      <c r="E350">
        <v>5</v>
      </c>
      <c r="F350">
        <v>2</v>
      </c>
      <c r="G350">
        <v>7.8</v>
      </c>
      <c r="H350">
        <v>92</v>
      </c>
      <c r="I350">
        <v>92.2</v>
      </c>
      <c r="J350">
        <v>92</v>
      </c>
      <c r="K350">
        <v>92</v>
      </c>
      <c r="L350">
        <v>0</v>
      </c>
      <c r="M350">
        <v>5</v>
      </c>
      <c r="N350" t="s">
        <v>24</v>
      </c>
      <c r="O350" s="8">
        <v>53.008499999999998</v>
      </c>
      <c r="P350" s="8">
        <v>-132.22999999999999</v>
      </c>
    </row>
    <row r="351" spans="1:16">
      <c r="A351">
        <v>1994</v>
      </c>
      <c r="B351">
        <v>1</v>
      </c>
      <c r="C351">
        <v>13029</v>
      </c>
      <c r="D351">
        <v>1170</v>
      </c>
      <c r="E351">
        <v>20</v>
      </c>
      <c r="F351">
        <v>2</v>
      </c>
      <c r="G351">
        <v>8</v>
      </c>
      <c r="H351">
        <v>100</v>
      </c>
      <c r="I351">
        <v>100</v>
      </c>
      <c r="J351">
        <v>100</v>
      </c>
      <c r="K351">
        <v>100</v>
      </c>
      <c r="L351">
        <v>100</v>
      </c>
      <c r="M351">
        <v>5</v>
      </c>
      <c r="N351" t="s">
        <v>24</v>
      </c>
      <c r="O351" s="8">
        <v>53.008499999999998</v>
      </c>
      <c r="P351" s="8">
        <v>-132.22999999999999</v>
      </c>
    </row>
    <row r="352" spans="1:16">
      <c r="A352">
        <v>1995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>
        <v>0</v>
      </c>
      <c r="M352">
        <v>5</v>
      </c>
      <c r="N352" t="s">
        <v>24</v>
      </c>
      <c r="O352" s="8">
        <v>53.008499999999998</v>
      </c>
      <c r="P352" s="8">
        <v>-132.22999999999999</v>
      </c>
    </row>
    <row r="353" spans="1:16">
      <c r="A353">
        <v>1996</v>
      </c>
      <c r="B353">
        <v>1</v>
      </c>
      <c r="C353">
        <v>0</v>
      </c>
      <c r="D353">
        <v>0</v>
      </c>
      <c r="E353">
        <v>14</v>
      </c>
      <c r="F353">
        <v>1.85</v>
      </c>
      <c r="G353" t="s">
        <v>0</v>
      </c>
      <c r="H353">
        <v>100</v>
      </c>
      <c r="I353" t="s">
        <v>0</v>
      </c>
      <c r="J353">
        <v>100</v>
      </c>
      <c r="K353">
        <v>100</v>
      </c>
      <c r="L353">
        <v>0</v>
      </c>
      <c r="M353">
        <v>5</v>
      </c>
      <c r="N353" t="s">
        <v>24</v>
      </c>
      <c r="O353" s="8">
        <v>53.008499999999998</v>
      </c>
      <c r="P353" s="8">
        <v>-132.22999999999999</v>
      </c>
    </row>
    <row r="354" spans="1:16">
      <c r="A354">
        <v>1997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>
        <v>0</v>
      </c>
      <c r="M354">
        <v>5</v>
      </c>
      <c r="N354" t="s">
        <v>24</v>
      </c>
      <c r="O354" s="8">
        <v>53.008499999999998</v>
      </c>
      <c r="P354" s="8">
        <v>-132.22999999999999</v>
      </c>
    </row>
    <row r="355" spans="1:16">
      <c r="A355">
        <v>1998</v>
      </c>
      <c r="B355">
        <v>2</v>
      </c>
      <c r="C355">
        <v>50668</v>
      </c>
      <c r="D355">
        <v>4550</v>
      </c>
      <c r="E355">
        <v>19</v>
      </c>
      <c r="F355">
        <v>1.93</v>
      </c>
      <c r="G355">
        <v>8.4</v>
      </c>
      <c r="H355">
        <v>94</v>
      </c>
      <c r="I355">
        <v>94</v>
      </c>
      <c r="J355">
        <v>94</v>
      </c>
      <c r="K355">
        <v>94</v>
      </c>
      <c r="L355">
        <v>100</v>
      </c>
      <c r="M355">
        <v>5</v>
      </c>
      <c r="N355" t="s">
        <v>24</v>
      </c>
      <c r="O355" s="8">
        <v>53.008499999999998</v>
      </c>
      <c r="P355" s="8">
        <v>-132.22999999999999</v>
      </c>
    </row>
    <row r="356" spans="1:16">
      <c r="A356">
        <v>1999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>
        <v>0</v>
      </c>
      <c r="M356">
        <v>5</v>
      </c>
      <c r="N356" t="s">
        <v>24</v>
      </c>
      <c r="O356" s="8">
        <v>53.008499999999998</v>
      </c>
      <c r="P356" s="8">
        <v>-132.22999999999999</v>
      </c>
    </row>
    <row r="357" spans="1:16">
      <c r="A357">
        <v>2000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>
        <v>0</v>
      </c>
      <c r="M357">
        <v>5</v>
      </c>
      <c r="N357" t="s">
        <v>24</v>
      </c>
      <c r="O357" s="8">
        <v>53.008499999999998</v>
      </c>
      <c r="P357" s="8">
        <v>-132.22999999999999</v>
      </c>
    </row>
    <row r="358" spans="1:16">
      <c r="A358">
        <v>2001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>
        <v>0</v>
      </c>
      <c r="M358">
        <v>5</v>
      </c>
      <c r="N358" t="s">
        <v>24</v>
      </c>
      <c r="O358" s="8">
        <v>53.008499999999998</v>
      </c>
      <c r="P358" s="8">
        <v>-132.22999999999999</v>
      </c>
    </row>
    <row r="359" spans="1:16">
      <c r="A359">
        <v>2002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>
        <v>0</v>
      </c>
      <c r="M359">
        <v>5</v>
      </c>
      <c r="N359" t="s">
        <v>24</v>
      </c>
      <c r="O359" s="8">
        <v>53.008499999999998</v>
      </c>
      <c r="P359" s="8">
        <v>-132.22999999999999</v>
      </c>
    </row>
    <row r="360" spans="1:16">
      <c r="A360">
        <v>2003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>
        <v>0</v>
      </c>
      <c r="M360">
        <v>5</v>
      </c>
      <c r="N360" t="s">
        <v>24</v>
      </c>
      <c r="O360" s="8">
        <v>53.008499999999998</v>
      </c>
      <c r="P360" s="8">
        <v>-132.22999999999999</v>
      </c>
    </row>
    <row r="361" spans="1:16">
      <c r="A361">
        <v>2004</v>
      </c>
      <c r="B361">
        <v>2</v>
      </c>
      <c r="C361">
        <v>5708</v>
      </c>
      <c r="D361">
        <v>576</v>
      </c>
      <c r="E361">
        <v>2</v>
      </c>
      <c r="F361">
        <v>1.34</v>
      </c>
      <c r="G361">
        <v>7.4</v>
      </c>
      <c r="H361">
        <v>92</v>
      </c>
      <c r="I361">
        <v>92</v>
      </c>
      <c r="J361">
        <v>92</v>
      </c>
      <c r="K361">
        <v>92</v>
      </c>
      <c r="L361">
        <v>0</v>
      </c>
      <c r="M361">
        <v>5</v>
      </c>
      <c r="N361" t="s">
        <v>24</v>
      </c>
      <c r="O361" s="8">
        <v>53.008499999999998</v>
      </c>
      <c r="P361" s="8">
        <v>-132.22999999999999</v>
      </c>
    </row>
    <row r="362" spans="1:16">
      <c r="A362">
        <v>2005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>
        <v>0</v>
      </c>
      <c r="M362">
        <v>5</v>
      </c>
      <c r="N362" t="s">
        <v>24</v>
      </c>
      <c r="O362" s="8">
        <v>53.008499999999998</v>
      </c>
      <c r="P362" s="8">
        <v>-132.22999999999999</v>
      </c>
    </row>
    <row r="363" spans="1:16">
      <c r="A363">
        <v>2006</v>
      </c>
      <c r="B363">
        <v>2</v>
      </c>
      <c r="C363">
        <v>32294</v>
      </c>
      <c r="D363">
        <v>2900</v>
      </c>
      <c r="E363">
        <v>8</v>
      </c>
      <c r="F363">
        <v>2</v>
      </c>
      <c r="G363">
        <v>7.1</v>
      </c>
      <c r="H363">
        <v>97</v>
      </c>
      <c r="I363">
        <v>97</v>
      </c>
      <c r="J363">
        <v>97</v>
      </c>
      <c r="K363">
        <v>97</v>
      </c>
      <c r="L363">
        <v>0</v>
      </c>
      <c r="M363">
        <v>5</v>
      </c>
      <c r="N363" t="s">
        <v>24</v>
      </c>
      <c r="O363" s="8">
        <v>53.008499999999998</v>
      </c>
      <c r="P363" s="8">
        <v>-132.22999999999999</v>
      </c>
    </row>
    <row r="364" spans="1:16">
      <c r="A364">
        <v>2007</v>
      </c>
      <c r="B364">
        <v>6</v>
      </c>
      <c r="C364">
        <v>7238</v>
      </c>
      <c r="D364">
        <v>650</v>
      </c>
      <c r="E364">
        <v>12</v>
      </c>
      <c r="F364">
        <v>1.85</v>
      </c>
      <c r="G364">
        <v>6</v>
      </c>
      <c r="H364">
        <v>89</v>
      </c>
      <c r="I364">
        <v>89</v>
      </c>
      <c r="J364">
        <v>89</v>
      </c>
      <c r="K364">
        <v>89</v>
      </c>
      <c r="L364">
        <v>0</v>
      </c>
      <c r="M364">
        <v>5</v>
      </c>
      <c r="N364" t="s">
        <v>24</v>
      </c>
      <c r="O364" s="8">
        <v>53.008499999999998</v>
      </c>
      <c r="P364" s="8">
        <v>-132.22999999999999</v>
      </c>
    </row>
    <row r="365" spans="1:16">
      <c r="A365">
        <v>2008</v>
      </c>
      <c r="B365">
        <v>4</v>
      </c>
      <c r="C365">
        <v>18374</v>
      </c>
      <c r="D365">
        <v>1650</v>
      </c>
      <c r="E365">
        <v>14</v>
      </c>
      <c r="F365">
        <v>1.85</v>
      </c>
      <c r="G365">
        <v>6.5</v>
      </c>
      <c r="H365">
        <v>100</v>
      </c>
      <c r="I365">
        <v>100</v>
      </c>
      <c r="J365">
        <v>100</v>
      </c>
      <c r="K365">
        <v>100</v>
      </c>
      <c r="L365">
        <v>0</v>
      </c>
      <c r="M365">
        <v>5</v>
      </c>
      <c r="N365" t="s">
        <v>24</v>
      </c>
      <c r="O365" s="8">
        <v>53.008499999999998</v>
      </c>
      <c r="P365" s="8">
        <v>-132.22999999999999</v>
      </c>
    </row>
    <row r="366" spans="1:16">
      <c r="A366">
        <v>2009</v>
      </c>
      <c r="B366">
        <v>3</v>
      </c>
      <c r="C366">
        <v>7639</v>
      </c>
      <c r="D366">
        <v>686</v>
      </c>
      <c r="E366">
        <v>17</v>
      </c>
      <c r="F366">
        <v>2</v>
      </c>
      <c r="G366">
        <v>5.8</v>
      </c>
      <c r="H366">
        <v>97</v>
      </c>
      <c r="I366">
        <v>97</v>
      </c>
      <c r="J366">
        <v>97</v>
      </c>
      <c r="K366">
        <v>97</v>
      </c>
      <c r="L366">
        <v>0</v>
      </c>
      <c r="M366">
        <v>5</v>
      </c>
      <c r="N366" t="s">
        <v>24</v>
      </c>
      <c r="O366" s="8">
        <v>53.008499999999998</v>
      </c>
      <c r="P366" s="8">
        <v>-132.22999999999999</v>
      </c>
    </row>
    <row r="367" spans="1:16">
      <c r="A367">
        <v>2010</v>
      </c>
      <c r="B367">
        <v>5</v>
      </c>
      <c r="C367">
        <v>21158</v>
      </c>
      <c r="D367">
        <v>1900</v>
      </c>
      <c r="E367">
        <v>21</v>
      </c>
      <c r="F367">
        <v>1.88</v>
      </c>
      <c r="G367" t="s">
        <v>0</v>
      </c>
      <c r="H367">
        <v>92.4</v>
      </c>
      <c r="I367">
        <v>90.3</v>
      </c>
      <c r="J367">
        <v>90</v>
      </c>
      <c r="K367">
        <v>102</v>
      </c>
      <c r="L367">
        <v>0</v>
      </c>
      <c r="M367">
        <v>5</v>
      </c>
      <c r="N367" t="s">
        <v>24</v>
      </c>
      <c r="O367" s="8">
        <v>53.008499999999998</v>
      </c>
      <c r="P367" s="8">
        <v>-132.22999999999999</v>
      </c>
    </row>
    <row r="368" spans="1:16">
      <c r="A368">
        <v>2011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>
        <v>0</v>
      </c>
      <c r="M368">
        <v>5</v>
      </c>
      <c r="N368" t="s">
        <v>24</v>
      </c>
      <c r="O368" s="8">
        <v>53.008499999999998</v>
      </c>
      <c r="P368" s="8">
        <v>-132.22999999999999</v>
      </c>
    </row>
    <row r="369" spans="1:16">
      <c r="A369">
        <v>2012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>
        <v>0</v>
      </c>
      <c r="M369">
        <v>5</v>
      </c>
      <c r="N369" t="s">
        <v>24</v>
      </c>
      <c r="O369" s="8">
        <v>53.008499999999998</v>
      </c>
      <c r="P369" s="8">
        <v>-132.22999999999999</v>
      </c>
    </row>
    <row r="370" spans="1:16">
      <c r="A370">
        <v>2013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>
        <v>0</v>
      </c>
      <c r="M370">
        <v>5</v>
      </c>
      <c r="N370" t="s">
        <v>24</v>
      </c>
      <c r="O370" s="8">
        <v>53.008499999999998</v>
      </c>
      <c r="P370" s="8">
        <v>-132.22999999999999</v>
      </c>
    </row>
    <row r="371" spans="1:16">
      <c r="A371">
        <v>1940</v>
      </c>
      <c r="B371">
        <v>1</v>
      </c>
      <c r="C371">
        <v>21949</v>
      </c>
      <c r="D371">
        <v>1609</v>
      </c>
      <c r="E371">
        <v>14</v>
      </c>
      <c r="F371">
        <v>2.74</v>
      </c>
      <c r="G371" t="s">
        <v>0</v>
      </c>
      <c r="H371">
        <v>89</v>
      </c>
      <c r="I371">
        <v>89</v>
      </c>
      <c r="J371">
        <v>89</v>
      </c>
      <c r="K371">
        <v>89</v>
      </c>
      <c r="L371">
        <v>0</v>
      </c>
      <c r="M371">
        <v>6</v>
      </c>
      <c r="N371" t="s">
        <v>30</v>
      </c>
      <c r="O371" s="8">
        <v>52.215499999999999</v>
      </c>
      <c r="P371" s="7">
        <v>-131.27099999999999</v>
      </c>
    </row>
    <row r="372" spans="1:16">
      <c r="A372">
        <v>1941</v>
      </c>
      <c r="B372">
        <v>1</v>
      </c>
      <c r="C372">
        <v>21949</v>
      </c>
      <c r="D372">
        <v>1609</v>
      </c>
      <c r="E372">
        <v>14</v>
      </c>
      <c r="F372">
        <v>2.74</v>
      </c>
      <c r="G372" t="s">
        <v>0</v>
      </c>
      <c r="H372">
        <v>88</v>
      </c>
      <c r="I372">
        <v>88</v>
      </c>
      <c r="J372">
        <v>88</v>
      </c>
      <c r="K372">
        <v>88</v>
      </c>
      <c r="L372">
        <v>0</v>
      </c>
      <c r="M372">
        <v>6</v>
      </c>
      <c r="N372" t="s">
        <v>30</v>
      </c>
      <c r="O372" s="8">
        <v>52.215499999999999</v>
      </c>
      <c r="P372" s="7">
        <v>-131.27099999999999</v>
      </c>
    </row>
    <row r="373" spans="1:16">
      <c r="A373">
        <v>1942</v>
      </c>
      <c r="B373">
        <v>1</v>
      </c>
      <c r="C373">
        <v>37404</v>
      </c>
      <c r="D373">
        <v>2742</v>
      </c>
      <c r="E373">
        <v>18</v>
      </c>
      <c r="F373">
        <v>5.3</v>
      </c>
      <c r="G373" t="s">
        <v>0</v>
      </c>
      <c r="H373">
        <v>91</v>
      </c>
      <c r="I373">
        <v>91</v>
      </c>
      <c r="J373">
        <v>91</v>
      </c>
      <c r="K373">
        <v>91</v>
      </c>
      <c r="L373">
        <v>0</v>
      </c>
      <c r="M373">
        <v>6</v>
      </c>
      <c r="N373" t="s">
        <v>30</v>
      </c>
      <c r="O373" s="8">
        <v>52.215499999999999</v>
      </c>
      <c r="P373" s="7">
        <v>-131.27099999999999</v>
      </c>
    </row>
    <row r="374" spans="1:16">
      <c r="A374">
        <v>1943</v>
      </c>
      <c r="B374">
        <v>0</v>
      </c>
      <c r="C374">
        <v>0</v>
      </c>
      <c r="D374">
        <v>0</v>
      </c>
      <c r="E374">
        <v>0</v>
      </c>
      <c r="F374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>
        <v>0</v>
      </c>
      <c r="M374">
        <v>6</v>
      </c>
      <c r="N374" t="s">
        <v>30</v>
      </c>
      <c r="O374" s="8">
        <v>52.215499999999999</v>
      </c>
      <c r="P374" s="7">
        <v>-131.27099999999999</v>
      </c>
    </row>
    <row r="375" spans="1:16">
      <c r="A375">
        <v>1944</v>
      </c>
      <c r="B375">
        <v>0</v>
      </c>
      <c r="C375">
        <v>0</v>
      </c>
      <c r="D375">
        <v>0</v>
      </c>
      <c r="E375">
        <v>0</v>
      </c>
      <c r="F375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>
        <v>0</v>
      </c>
      <c r="M375">
        <v>6</v>
      </c>
      <c r="N375" t="s">
        <v>30</v>
      </c>
      <c r="O375" s="8">
        <v>52.215499999999999</v>
      </c>
      <c r="P375" s="7">
        <v>-131.27099999999999</v>
      </c>
    </row>
    <row r="376" spans="1:16">
      <c r="A376">
        <v>1945</v>
      </c>
      <c r="B376">
        <v>0</v>
      </c>
      <c r="C376">
        <v>0</v>
      </c>
      <c r="D376">
        <v>0</v>
      </c>
      <c r="E376">
        <v>0</v>
      </c>
      <c r="F376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>
        <v>0</v>
      </c>
      <c r="M376">
        <v>6</v>
      </c>
      <c r="N376" t="s">
        <v>30</v>
      </c>
      <c r="O376" s="8">
        <v>52.215499999999999</v>
      </c>
      <c r="P376" s="7">
        <v>-131.27099999999999</v>
      </c>
    </row>
    <row r="377" spans="1:16">
      <c r="A377">
        <v>1946</v>
      </c>
      <c r="B377">
        <v>0</v>
      </c>
      <c r="C377">
        <v>0</v>
      </c>
      <c r="D377">
        <v>0</v>
      </c>
      <c r="E377">
        <v>0</v>
      </c>
      <c r="F377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>
        <v>0</v>
      </c>
      <c r="M377">
        <v>6</v>
      </c>
      <c r="N377" t="s">
        <v>30</v>
      </c>
      <c r="O377" s="8">
        <v>52.215499999999999</v>
      </c>
      <c r="P377" s="7">
        <v>-131.27099999999999</v>
      </c>
    </row>
    <row r="378" spans="1:16">
      <c r="A378">
        <v>1947</v>
      </c>
      <c r="B378">
        <v>0</v>
      </c>
      <c r="C378">
        <v>0</v>
      </c>
      <c r="D378">
        <v>0</v>
      </c>
      <c r="E378">
        <v>0</v>
      </c>
      <c r="F378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>
        <v>0</v>
      </c>
      <c r="M378">
        <v>6</v>
      </c>
      <c r="N378" t="s">
        <v>30</v>
      </c>
      <c r="O378" s="8">
        <v>52.215499999999999</v>
      </c>
      <c r="P378" s="7">
        <v>-131.27099999999999</v>
      </c>
    </row>
    <row r="379" spans="1:16">
      <c r="A379">
        <v>1948</v>
      </c>
      <c r="B379">
        <v>0</v>
      </c>
      <c r="C379">
        <v>0</v>
      </c>
      <c r="D379">
        <v>0</v>
      </c>
      <c r="E379">
        <v>0</v>
      </c>
      <c r="F379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>
        <v>0</v>
      </c>
      <c r="M379">
        <v>6</v>
      </c>
      <c r="N379" t="s">
        <v>30</v>
      </c>
      <c r="O379" s="8">
        <v>52.215499999999999</v>
      </c>
      <c r="P379" s="7">
        <v>-131.27099999999999</v>
      </c>
    </row>
    <row r="380" spans="1:16">
      <c r="A380">
        <v>1949</v>
      </c>
      <c r="B380">
        <v>0</v>
      </c>
      <c r="C380">
        <v>0</v>
      </c>
      <c r="D380">
        <v>0</v>
      </c>
      <c r="E380">
        <v>0</v>
      </c>
      <c r="F380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>
        <v>0</v>
      </c>
      <c r="M380">
        <v>6</v>
      </c>
      <c r="N380" t="s">
        <v>30</v>
      </c>
      <c r="O380" s="8">
        <v>52.215499999999999</v>
      </c>
      <c r="P380" s="7">
        <v>-131.27099999999999</v>
      </c>
    </row>
    <row r="381" spans="1:16">
      <c r="A381">
        <v>1950</v>
      </c>
      <c r="B381">
        <v>0</v>
      </c>
      <c r="C381">
        <v>0</v>
      </c>
      <c r="D381">
        <v>0</v>
      </c>
      <c r="E381">
        <v>0</v>
      </c>
      <c r="F381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>
        <v>0</v>
      </c>
      <c r="M381">
        <v>6</v>
      </c>
      <c r="N381" t="s">
        <v>30</v>
      </c>
      <c r="O381" s="8">
        <v>52.215499999999999</v>
      </c>
      <c r="P381" s="7">
        <v>-131.27099999999999</v>
      </c>
    </row>
    <row r="382" spans="1:16">
      <c r="A382">
        <v>1951</v>
      </c>
      <c r="B382">
        <v>0</v>
      </c>
      <c r="C382">
        <v>0</v>
      </c>
      <c r="D382">
        <v>0</v>
      </c>
      <c r="E382">
        <v>0</v>
      </c>
      <c r="F382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>
        <v>0</v>
      </c>
      <c r="M382">
        <v>6</v>
      </c>
      <c r="N382" t="s">
        <v>30</v>
      </c>
      <c r="O382" s="8">
        <v>52.215499999999999</v>
      </c>
      <c r="P382" s="7">
        <v>-131.27099999999999</v>
      </c>
    </row>
    <row r="383" spans="1:16">
      <c r="A383">
        <v>1952</v>
      </c>
      <c r="B383">
        <v>0</v>
      </c>
      <c r="C383">
        <v>0</v>
      </c>
      <c r="D383">
        <v>0</v>
      </c>
      <c r="E383">
        <v>0</v>
      </c>
      <c r="F383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>
        <v>0</v>
      </c>
      <c r="M383">
        <v>6</v>
      </c>
      <c r="N383" t="s">
        <v>30</v>
      </c>
      <c r="O383" s="8">
        <v>52.215499999999999</v>
      </c>
      <c r="P383" s="7">
        <v>-131.27099999999999</v>
      </c>
    </row>
    <row r="384" spans="1:16">
      <c r="A384">
        <v>1953</v>
      </c>
      <c r="B384">
        <v>0</v>
      </c>
      <c r="C384">
        <v>0</v>
      </c>
      <c r="D384">
        <v>0</v>
      </c>
      <c r="E384">
        <v>0</v>
      </c>
      <c r="F384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>
        <v>0</v>
      </c>
      <c r="M384">
        <v>6</v>
      </c>
      <c r="N384" t="s">
        <v>30</v>
      </c>
      <c r="O384" s="8">
        <v>52.215499999999999</v>
      </c>
      <c r="P384" s="7">
        <v>-131.27099999999999</v>
      </c>
    </row>
    <row r="385" spans="1:16">
      <c r="A385">
        <v>1954</v>
      </c>
      <c r="B385">
        <v>0</v>
      </c>
      <c r="C385">
        <v>0</v>
      </c>
      <c r="D385">
        <v>0</v>
      </c>
      <c r="E385">
        <v>0</v>
      </c>
      <c r="F385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>
        <v>0</v>
      </c>
      <c r="M385">
        <v>6</v>
      </c>
      <c r="N385" t="s">
        <v>30</v>
      </c>
      <c r="O385" s="8">
        <v>52.215499999999999</v>
      </c>
      <c r="P385" s="7">
        <v>-131.27099999999999</v>
      </c>
    </row>
    <row r="386" spans="1:16">
      <c r="A386">
        <v>1955</v>
      </c>
      <c r="B386">
        <v>0</v>
      </c>
      <c r="C386">
        <v>0</v>
      </c>
      <c r="D386">
        <v>0</v>
      </c>
      <c r="E386">
        <v>0</v>
      </c>
      <c r="F386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>
        <v>0</v>
      </c>
      <c r="M386">
        <v>6</v>
      </c>
      <c r="N386" t="s">
        <v>30</v>
      </c>
      <c r="O386" s="8">
        <v>52.215499999999999</v>
      </c>
      <c r="P386" s="7">
        <v>-131.27099999999999</v>
      </c>
    </row>
    <row r="387" spans="1:16">
      <c r="A387">
        <v>1956</v>
      </c>
      <c r="B387">
        <v>0</v>
      </c>
      <c r="C387">
        <v>0</v>
      </c>
      <c r="D387">
        <v>0</v>
      </c>
      <c r="E387">
        <v>0</v>
      </c>
      <c r="F387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>
        <v>0</v>
      </c>
      <c r="M387">
        <v>6</v>
      </c>
      <c r="N387" t="s">
        <v>30</v>
      </c>
      <c r="O387" s="8">
        <v>52.215499999999999</v>
      </c>
      <c r="P387" s="7">
        <v>-131.27099999999999</v>
      </c>
    </row>
    <row r="388" spans="1:16">
      <c r="A388">
        <v>1957</v>
      </c>
      <c r="B388">
        <v>0</v>
      </c>
      <c r="C388">
        <v>0</v>
      </c>
      <c r="D388">
        <v>0</v>
      </c>
      <c r="E388">
        <v>0</v>
      </c>
      <c r="F388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>
        <v>0</v>
      </c>
      <c r="M388">
        <v>6</v>
      </c>
      <c r="N388" t="s">
        <v>30</v>
      </c>
      <c r="O388" s="8">
        <v>52.215499999999999</v>
      </c>
      <c r="P388" s="7">
        <v>-131.27099999999999</v>
      </c>
    </row>
    <row r="389" spans="1:16">
      <c r="A389">
        <v>1958</v>
      </c>
      <c r="B389">
        <v>0</v>
      </c>
      <c r="C389">
        <v>0</v>
      </c>
      <c r="D389">
        <v>0</v>
      </c>
      <c r="E389">
        <v>0</v>
      </c>
      <c r="F389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>
        <v>0</v>
      </c>
      <c r="M389">
        <v>6</v>
      </c>
      <c r="N389" t="s">
        <v>30</v>
      </c>
      <c r="O389" s="8">
        <v>52.215499999999999</v>
      </c>
      <c r="P389" s="7">
        <v>-131.27099999999999</v>
      </c>
    </row>
    <row r="390" spans="1:16">
      <c r="A390">
        <v>1959</v>
      </c>
      <c r="B390">
        <v>1</v>
      </c>
      <c r="C390">
        <v>43638</v>
      </c>
      <c r="D390">
        <v>3199</v>
      </c>
      <c r="E390">
        <v>9</v>
      </c>
      <c r="F390">
        <v>2.96</v>
      </c>
      <c r="G390">
        <v>8.1</v>
      </c>
      <c r="H390">
        <v>97</v>
      </c>
      <c r="I390">
        <v>97</v>
      </c>
      <c r="J390">
        <v>97</v>
      </c>
      <c r="K390">
        <v>97</v>
      </c>
      <c r="L390">
        <v>0</v>
      </c>
      <c r="M390">
        <v>6</v>
      </c>
      <c r="N390" t="s">
        <v>30</v>
      </c>
      <c r="O390" s="8">
        <v>52.215499999999999</v>
      </c>
      <c r="P390" s="7">
        <v>-131.27099999999999</v>
      </c>
    </row>
    <row r="391" spans="1:16">
      <c r="A391">
        <v>1960</v>
      </c>
      <c r="B391">
        <v>3</v>
      </c>
      <c r="C391">
        <v>83539</v>
      </c>
      <c r="D391">
        <v>6124</v>
      </c>
      <c r="E391">
        <v>34</v>
      </c>
      <c r="F391">
        <v>5.3</v>
      </c>
      <c r="G391">
        <v>7.3</v>
      </c>
      <c r="H391">
        <v>97.7</v>
      </c>
      <c r="I391">
        <v>97.8</v>
      </c>
      <c r="J391">
        <v>97</v>
      </c>
      <c r="K391">
        <v>98</v>
      </c>
      <c r="L391">
        <v>0</v>
      </c>
      <c r="M391">
        <v>6</v>
      </c>
      <c r="N391" t="s">
        <v>30</v>
      </c>
      <c r="O391" s="8">
        <v>52.215499999999999</v>
      </c>
      <c r="P391" s="7">
        <v>-131.27099999999999</v>
      </c>
    </row>
    <row r="392" spans="1:16">
      <c r="A392">
        <v>1961</v>
      </c>
      <c r="B392">
        <v>3</v>
      </c>
      <c r="C392">
        <v>98503</v>
      </c>
      <c r="D392">
        <v>7221</v>
      </c>
      <c r="E392">
        <v>5</v>
      </c>
      <c r="F392">
        <v>2.42</v>
      </c>
      <c r="G392">
        <v>7.9</v>
      </c>
      <c r="H392">
        <v>83</v>
      </c>
      <c r="I392">
        <v>83</v>
      </c>
      <c r="J392">
        <v>83</v>
      </c>
      <c r="K392">
        <v>83</v>
      </c>
      <c r="L392">
        <v>0</v>
      </c>
      <c r="M392">
        <v>6</v>
      </c>
      <c r="N392" t="s">
        <v>30</v>
      </c>
      <c r="O392" s="8">
        <v>52.215499999999999</v>
      </c>
      <c r="P392" s="7">
        <v>-131.27099999999999</v>
      </c>
    </row>
    <row r="393" spans="1:16">
      <c r="A393">
        <v>1962</v>
      </c>
      <c r="B393">
        <v>1</v>
      </c>
      <c r="C393">
        <v>37404</v>
      </c>
      <c r="D393">
        <v>2742</v>
      </c>
      <c r="E393">
        <v>14</v>
      </c>
      <c r="F393">
        <v>2.96</v>
      </c>
      <c r="G393">
        <v>6.8</v>
      </c>
      <c r="H393">
        <v>96</v>
      </c>
      <c r="I393">
        <v>96</v>
      </c>
      <c r="J393">
        <v>96</v>
      </c>
      <c r="K393">
        <v>96</v>
      </c>
      <c r="L393">
        <v>0</v>
      </c>
      <c r="M393">
        <v>6</v>
      </c>
      <c r="N393" t="s">
        <v>30</v>
      </c>
      <c r="O393" s="8">
        <v>52.215499999999999</v>
      </c>
      <c r="P393" s="7">
        <v>-131.27099999999999</v>
      </c>
    </row>
    <row r="394" spans="1:16">
      <c r="A394">
        <v>1963</v>
      </c>
      <c r="B394">
        <v>0</v>
      </c>
      <c r="C394">
        <v>0</v>
      </c>
      <c r="D394">
        <v>0</v>
      </c>
      <c r="E394">
        <v>0</v>
      </c>
      <c r="F394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>
        <v>0</v>
      </c>
      <c r="M394">
        <v>6</v>
      </c>
      <c r="N394" t="s">
        <v>30</v>
      </c>
      <c r="O394" s="8">
        <v>52.215499999999999</v>
      </c>
      <c r="P394" s="7">
        <v>-131.27099999999999</v>
      </c>
    </row>
    <row r="395" spans="1:16">
      <c r="A395">
        <v>1964</v>
      </c>
      <c r="B395">
        <v>4</v>
      </c>
      <c r="C395">
        <v>64837</v>
      </c>
      <c r="D395">
        <v>4753</v>
      </c>
      <c r="E395">
        <v>15</v>
      </c>
      <c r="F395">
        <v>2.56</v>
      </c>
      <c r="G395">
        <v>7.7</v>
      </c>
      <c r="H395">
        <v>62</v>
      </c>
      <c r="I395">
        <v>62.9</v>
      </c>
      <c r="J395">
        <v>59</v>
      </c>
      <c r="K395">
        <v>67</v>
      </c>
      <c r="L395">
        <v>0</v>
      </c>
      <c r="M395">
        <v>6</v>
      </c>
      <c r="N395" t="s">
        <v>30</v>
      </c>
      <c r="O395" s="8">
        <v>52.215499999999999</v>
      </c>
      <c r="P395" s="7">
        <v>-131.27099999999999</v>
      </c>
    </row>
    <row r="396" spans="1:16">
      <c r="A396">
        <v>1965</v>
      </c>
      <c r="B396">
        <v>2</v>
      </c>
      <c r="C396">
        <v>24936</v>
      </c>
      <c r="D396">
        <v>1828</v>
      </c>
      <c r="E396">
        <v>9</v>
      </c>
      <c r="F396">
        <v>1.34</v>
      </c>
      <c r="G396">
        <v>6.9</v>
      </c>
      <c r="H396">
        <v>79</v>
      </c>
      <c r="I396">
        <v>79</v>
      </c>
      <c r="J396">
        <v>79</v>
      </c>
      <c r="K396">
        <v>79</v>
      </c>
      <c r="L396">
        <v>0</v>
      </c>
      <c r="M396">
        <v>6</v>
      </c>
      <c r="N396" t="s">
        <v>30</v>
      </c>
      <c r="O396" s="8">
        <v>52.215499999999999</v>
      </c>
      <c r="P396" s="7">
        <v>-131.27099999999999</v>
      </c>
    </row>
    <row r="397" spans="1:16">
      <c r="A397">
        <v>1966</v>
      </c>
      <c r="B397">
        <v>0</v>
      </c>
      <c r="C397">
        <v>0</v>
      </c>
      <c r="D397">
        <v>0</v>
      </c>
      <c r="E397">
        <v>0</v>
      </c>
      <c r="F397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>
        <v>0</v>
      </c>
      <c r="M397">
        <v>6</v>
      </c>
      <c r="N397" t="s">
        <v>30</v>
      </c>
      <c r="O397" s="8">
        <v>52.215499999999999</v>
      </c>
      <c r="P397" s="7">
        <v>-131.27099999999999</v>
      </c>
    </row>
    <row r="398" spans="1:16">
      <c r="A398">
        <v>1967</v>
      </c>
      <c r="B398">
        <v>1</v>
      </c>
      <c r="C398">
        <v>941</v>
      </c>
      <c r="D398">
        <v>69</v>
      </c>
      <c r="E398">
        <v>5</v>
      </c>
      <c r="F398">
        <v>0.94</v>
      </c>
      <c r="G398">
        <v>6.7</v>
      </c>
      <c r="H398">
        <v>84</v>
      </c>
      <c r="I398">
        <v>84.1</v>
      </c>
      <c r="J398">
        <v>84</v>
      </c>
      <c r="K398">
        <v>84</v>
      </c>
      <c r="L398">
        <v>0</v>
      </c>
      <c r="M398">
        <v>6</v>
      </c>
      <c r="N398" t="s">
        <v>30</v>
      </c>
      <c r="O398" s="8">
        <v>52.215499999999999</v>
      </c>
      <c r="P398" s="7">
        <v>-131.27099999999999</v>
      </c>
    </row>
    <row r="399" spans="1:16">
      <c r="A399">
        <v>1968</v>
      </c>
      <c r="B399">
        <v>1</v>
      </c>
      <c r="C399">
        <v>6234</v>
      </c>
      <c r="D399">
        <v>457</v>
      </c>
      <c r="E399">
        <v>9</v>
      </c>
      <c r="F399">
        <v>0.55000000000000004</v>
      </c>
      <c r="G399">
        <v>7.2</v>
      </c>
      <c r="H399">
        <v>102</v>
      </c>
      <c r="I399">
        <v>102</v>
      </c>
      <c r="J399">
        <v>102</v>
      </c>
      <c r="K399">
        <v>102</v>
      </c>
      <c r="L399">
        <v>0</v>
      </c>
      <c r="M399">
        <v>6</v>
      </c>
      <c r="N399" t="s">
        <v>30</v>
      </c>
      <c r="O399" s="8">
        <v>52.215499999999999</v>
      </c>
      <c r="P399" s="7">
        <v>-131.27099999999999</v>
      </c>
    </row>
    <row r="400" spans="1:16">
      <c r="A400">
        <v>1969</v>
      </c>
      <c r="B400">
        <v>0</v>
      </c>
      <c r="C400">
        <v>0</v>
      </c>
      <c r="D400">
        <v>0</v>
      </c>
      <c r="E400">
        <v>0</v>
      </c>
      <c r="F400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>
        <v>0</v>
      </c>
      <c r="M400">
        <v>6</v>
      </c>
      <c r="N400" t="s">
        <v>30</v>
      </c>
      <c r="O400" s="8">
        <v>52.215499999999999</v>
      </c>
      <c r="P400" s="7">
        <v>-131.27099999999999</v>
      </c>
    </row>
    <row r="401" spans="1:16">
      <c r="A401">
        <v>1970</v>
      </c>
      <c r="B401">
        <v>3</v>
      </c>
      <c r="C401">
        <v>12482</v>
      </c>
      <c r="D401">
        <v>915</v>
      </c>
      <c r="E401">
        <v>49</v>
      </c>
      <c r="F401">
        <v>2.42</v>
      </c>
      <c r="G401">
        <v>8</v>
      </c>
      <c r="H401">
        <v>95</v>
      </c>
      <c r="I401">
        <v>95.2</v>
      </c>
      <c r="J401">
        <v>93</v>
      </c>
      <c r="K401">
        <v>98</v>
      </c>
      <c r="L401">
        <v>0</v>
      </c>
      <c r="M401">
        <v>6</v>
      </c>
      <c r="N401" t="s">
        <v>30</v>
      </c>
      <c r="O401" s="8">
        <v>52.215499999999999</v>
      </c>
      <c r="P401" s="7">
        <v>-131.27099999999999</v>
      </c>
    </row>
    <row r="402" spans="1:16">
      <c r="A402">
        <v>1971</v>
      </c>
      <c r="B402">
        <v>1</v>
      </c>
      <c r="C402">
        <v>76800</v>
      </c>
      <c r="D402">
        <v>5630</v>
      </c>
      <c r="E402">
        <v>23</v>
      </c>
      <c r="F402">
        <v>2.15</v>
      </c>
      <c r="G402">
        <v>6.9</v>
      </c>
      <c r="H402">
        <v>114</v>
      </c>
      <c r="I402">
        <v>114</v>
      </c>
      <c r="J402">
        <v>114</v>
      </c>
      <c r="K402">
        <v>114</v>
      </c>
      <c r="L402">
        <v>0</v>
      </c>
      <c r="M402">
        <v>6</v>
      </c>
      <c r="N402" t="s">
        <v>30</v>
      </c>
      <c r="O402" s="8">
        <v>52.215499999999999</v>
      </c>
      <c r="P402" s="7">
        <v>-131.27099999999999</v>
      </c>
    </row>
    <row r="403" spans="1:16">
      <c r="A403">
        <v>1972</v>
      </c>
      <c r="B403">
        <v>15</v>
      </c>
      <c r="C403">
        <v>110385</v>
      </c>
      <c r="D403">
        <v>8092</v>
      </c>
      <c r="E403">
        <v>14</v>
      </c>
      <c r="F403">
        <v>2.74</v>
      </c>
      <c r="G403">
        <v>6.5</v>
      </c>
      <c r="H403">
        <v>87.5</v>
      </c>
      <c r="I403">
        <v>86.8</v>
      </c>
      <c r="J403">
        <v>80</v>
      </c>
      <c r="K403">
        <v>89</v>
      </c>
      <c r="L403">
        <v>0</v>
      </c>
      <c r="M403">
        <v>6</v>
      </c>
      <c r="N403" t="s">
        <v>30</v>
      </c>
      <c r="O403" s="8">
        <v>52.215499999999999</v>
      </c>
      <c r="P403" s="7">
        <v>-131.27099999999999</v>
      </c>
    </row>
    <row r="404" spans="1:16">
      <c r="A404">
        <v>1973</v>
      </c>
      <c r="B404">
        <v>12</v>
      </c>
      <c r="C404">
        <v>220060</v>
      </c>
      <c r="D404">
        <v>16132</v>
      </c>
      <c r="E404">
        <v>11</v>
      </c>
      <c r="F404">
        <v>2.83</v>
      </c>
      <c r="G404">
        <v>7.7</v>
      </c>
      <c r="H404">
        <v>91</v>
      </c>
      <c r="I404">
        <v>91</v>
      </c>
      <c r="J404">
        <v>91</v>
      </c>
      <c r="K404">
        <v>91</v>
      </c>
      <c r="L404">
        <v>0</v>
      </c>
      <c r="M404">
        <v>6</v>
      </c>
      <c r="N404" t="s">
        <v>30</v>
      </c>
      <c r="O404" s="8">
        <v>52.215499999999999</v>
      </c>
      <c r="P404" s="7">
        <v>-131.27099999999999</v>
      </c>
    </row>
    <row r="405" spans="1:16">
      <c r="A405">
        <v>1974</v>
      </c>
      <c r="B405">
        <v>3</v>
      </c>
      <c r="C405">
        <v>158347</v>
      </c>
      <c r="D405">
        <v>11608</v>
      </c>
      <c r="E405">
        <v>15</v>
      </c>
      <c r="F405">
        <v>2.69</v>
      </c>
      <c r="G405">
        <v>6.8</v>
      </c>
      <c r="H405">
        <v>79.3</v>
      </c>
      <c r="I405">
        <v>78.8</v>
      </c>
      <c r="J405">
        <v>78</v>
      </c>
      <c r="K405">
        <v>81</v>
      </c>
      <c r="L405">
        <v>0</v>
      </c>
      <c r="M405">
        <v>6</v>
      </c>
      <c r="N405" t="s">
        <v>30</v>
      </c>
      <c r="O405" s="8">
        <v>52.215499999999999</v>
      </c>
      <c r="P405" s="7">
        <v>-131.27099999999999</v>
      </c>
    </row>
    <row r="406" spans="1:16">
      <c r="A406">
        <v>1975</v>
      </c>
      <c r="B406">
        <v>8</v>
      </c>
      <c r="C406">
        <v>132470</v>
      </c>
      <c r="D406">
        <v>9711</v>
      </c>
      <c r="E406">
        <v>19</v>
      </c>
      <c r="F406">
        <v>3.38</v>
      </c>
      <c r="G406" t="s">
        <v>0</v>
      </c>
      <c r="H406">
        <v>88.8</v>
      </c>
      <c r="I406">
        <v>89.9</v>
      </c>
      <c r="J406">
        <v>75</v>
      </c>
      <c r="K406">
        <v>93</v>
      </c>
      <c r="L406">
        <v>0</v>
      </c>
      <c r="M406">
        <v>6</v>
      </c>
      <c r="N406" t="s">
        <v>30</v>
      </c>
      <c r="O406" s="8">
        <v>52.215499999999999</v>
      </c>
      <c r="P406" s="7">
        <v>-131.27099999999999</v>
      </c>
    </row>
    <row r="407" spans="1:16">
      <c r="A407">
        <v>1976</v>
      </c>
      <c r="B407">
        <v>30</v>
      </c>
      <c r="C407">
        <v>272565</v>
      </c>
      <c r="D407">
        <v>19981</v>
      </c>
      <c r="E407">
        <v>14</v>
      </c>
      <c r="F407">
        <v>2.73</v>
      </c>
      <c r="G407">
        <v>6.8</v>
      </c>
      <c r="H407">
        <v>100.4</v>
      </c>
      <c r="I407">
        <v>102.9</v>
      </c>
      <c r="J407">
        <v>97</v>
      </c>
      <c r="K407">
        <v>116</v>
      </c>
      <c r="L407">
        <v>0</v>
      </c>
      <c r="M407">
        <v>6</v>
      </c>
      <c r="N407" t="s">
        <v>30</v>
      </c>
      <c r="O407" s="8">
        <v>52.215499999999999</v>
      </c>
      <c r="P407" s="7">
        <v>-131.27099999999999</v>
      </c>
    </row>
    <row r="408" spans="1:16">
      <c r="A408">
        <v>1977</v>
      </c>
      <c r="B408">
        <v>16</v>
      </c>
      <c r="C408">
        <v>155055</v>
      </c>
      <c r="D408">
        <v>11470</v>
      </c>
      <c r="E408">
        <v>5</v>
      </c>
      <c r="F408">
        <v>2.13</v>
      </c>
      <c r="G408">
        <v>7.8</v>
      </c>
      <c r="H408">
        <v>85.4</v>
      </c>
      <c r="I408">
        <v>85.2</v>
      </c>
      <c r="J408">
        <v>69</v>
      </c>
      <c r="K408">
        <v>92</v>
      </c>
      <c r="L408">
        <v>0</v>
      </c>
      <c r="M408">
        <v>6</v>
      </c>
      <c r="N408" t="s">
        <v>30</v>
      </c>
      <c r="O408" s="8">
        <v>52.215499999999999</v>
      </c>
      <c r="P408" s="7">
        <v>-131.27099999999999</v>
      </c>
    </row>
    <row r="409" spans="1:16">
      <c r="A409">
        <v>1978</v>
      </c>
      <c r="B409">
        <v>11</v>
      </c>
      <c r="C409">
        <v>74078</v>
      </c>
      <c r="D409">
        <v>5578</v>
      </c>
      <c r="E409">
        <v>15</v>
      </c>
      <c r="F409">
        <v>1.05</v>
      </c>
      <c r="G409">
        <v>7.9</v>
      </c>
      <c r="H409">
        <v>81.8</v>
      </c>
      <c r="I409">
        <v>81.7</v>
      </c>
      <c r="J409">
        <v>76</v>
      </c>
      <c r="K409">
        <v>104</v>
      </c>
      <c r="L409">
        <v>0</v>
      </c>
      <c r="M409">
        <v>6</v>
      </c>
      <c r="N409" t="s">
        <v>30</v>
      </c>
      <c r="O409" s="8">
        <v>52.215499999999999</v>
      </c>
      <c r="P409" s="7">
        <v>-131.27099999999999</v>
      </c>
    </row>
    <row r="410" spans="1:16">
      <c r="A410">
        <v>1979</v>
      </c>
      <c r="B410">
        <v>9</v>
      </c>
      <c r="C410">
        <v>41215</v>
      </c>
      <c r="D410">
        <v>3042</v>
      </c>
      <c r="E410">
        <v>22</v>
      </c>
      <c r="F410">
        <v>1.54</v>
      </c>
      <c r="G410">
        <v>7.4</v>
      </c>
      <c r="H410">
        <v>94.3</v>
      </c>
      <c r="I410">
        <v>94.8</v>
      </c>
      <c r="J410">
        <v>88</v>
      </c>
      <c r="K410">
        <v>96</v>
      </c>
      <c r="L410">
        <v>0</v>
      </c>
      <c r="M410">
        <v>6</v>
      </c>
      <c r="N410" t="s">
        <v>30</v>
      </c>
      <c r="O410" s="8">
        <v>52.215499999999999</v>
      </c>
      <c r="P410" s="7">
        <v>-131.27099999999999</v>
      </c>
    </row>
    <row r="411" spans="1:16">
      <c r="A411">
        <v>1980</v>
      </c>
      <c r="B411">
        <v>23</v>
      </c>
      <c r="C411">
        <v>90580</v>
      </c>
      <c r="D411">
        <v>7009</v>
      </c>
      <c r="E411">
        <v>25</v>
      </c>
      <c r="F411">
        <v>1.71</v>
      </c>
      <c r="G411">
        <v>8.1</v>
      </c>
      <c r="H411">
        <v>82.6</v>
      </c>
      <c r="I411">
        <v>86.5</v>
      </c>
      <c r="J411">
        <v>80</v>
      </c>
      <c r="K411">
        <v>99</v>
      </c>
      <c r="L411">
        <v>0</v>
      </c>
      <c r="M411">
        <v>6</v>
      </c>
      <c r="N411" t="s">
        <v>30</v>
      </c>
      <c r="O411" s="8">
        <v>52.215499999999999</v>
      </c>
      <c r="P411" s="7">
        <v>-131.27099999999999</v>
      </c>
    </row>
    <row r="412" spans="1:16">
      <c r="A412">
        <v>1981</v>
      </c>
      <c r="B412">
        <v>10</v>
      </c>
      <c r="C412">
        <v>48725</v>
      </c>
      <c r="D412">
        <v>3749</v>
      </c>
      <c r="E412">
        <v>53</v>
      </c>
      <c r="F412">
        <v>0.97</v>
      </c>
      <c r="G412">
        <v>8.5</v>
      </c>
      <c r="H412">
        <v>75.599999999999994</v>
      </c>
      <c r="I412">
        <v>70.7</v>
      </c>
      <c r="J412">
        <v>62</v>
      </c>
      <c r="K412">
        <v>86</v>
      </c>
      <c r="L412">
        <v>0</v>
      </c>
      <c r="M412">
        <v>6</v>
      </c>
      <c r="N412" t="s">
        <v>30</v>
      </c>
      <c r="O412" s="8">
        <v>52.215499999999999</v>
      </c>
      <c r="P412" s="7">
        <v>-131.27099999999999</v>
      </c>
    </row>
    <row r="413" spans="1:16">
      <c r="A413">
        <v>1982</v>
      </c>
      <c r="B413">
        <v>12</v>
      </c>
      <c r="C413">
        <v>78173</v>
      </c>
      <c r="D413">
        <v>6196</v>
      </c>
      <c r="E413">
        <v>65</v>
      </c>
      <c r="F413">
        <v>1.41</v>
      </c>
      <c r="G413">
        <v>7.5</v>
      </c>
      <c r="H413">
        <v>71.8</v>
      </c>
      <c r="I413">
        <v>71.400000000000006</v>
      </c>
      <c r="J413">
        <v>65</v>
      </c>
      <c r="K413">
        <v>91</v>
      </c>
      <c r="L413">
        <v>0</v>
      </c>
      <c r="M413">
        <v>6</v>
      </c>
      <c r="N413" t="s">
        <v>30</v>
      </c>
      <c r="O413" s="8">
        <v>52.215499999999999</v>
      </c>
      <c r="P413" s="7">
        <v>-131.27099999999999</v>
      </c>
    </row>
    <row r="414" spans="1:16">
      <c r="A414">
        <v>1983</v>
      </c>
      <c r="B414">
        <v>16</v>
      </c>
      <c r="C414">
        <v>69884</v>
      </c>
      <c r="D414">
        <v>5123</v>
      </c>
      <c r="E414">
        <v>29</v>
      </c>
      <c r="F414">
        <v>1.39</v>
      </c>
      <c r="G414">
        <v>9</v>
      </c>
      <c r="H414">
        <v>73</v>
      </c>
      <c r="I414">
        <v>73</v>
      </c>
      <c r="J414">
        <v>73</v>
      </c>
      <c r="K414">
        <v>73</v>
      </c>
      <c r="L414">
        <v>0</v>
      </c>
      <c r="M414">
        <v>6</v>
      </c>
      <c r="N414" t="s">
        <v>30</v>
      </c>
      <c r="O414" s="8">
        <v>52.215499999999999</v>
      </c>
      <c r="P414" s="7">
        <v>-131.27099999999999</v>
      </c>
    </row>
    <row r="415" spans="1:16">
      <c r="A415">
        <v>1984</v>
      </c>
      <c r="B415">
        <v>3</v>
      </c>
      <c r="C415">
        <v>38877</v>
      </c>
      <c r="D415">
        <v>2850</v>
      </c>
      <c r="E415">
        <v>9</v>
      </c>
      <c r="F415">
        <v>1.47</v>
      </c>
      <c r="G415">
        <v>8.1999999999999993</v>
      </c>
      <c r="H415">
        <v>66</v>
      </c>
      <c r="I415">
        <v>66</v>
      </c>
      <c r="J415">
        <v>66</v>
      </c>
      <c r="K415">
        <v>66</v>
      </c>
      <c r="L415">
        <v>0</v>
      </c>
      <c r="M415">
        <v>6</v>
      </c>
      <c r="N415" t="s">
        <v>30</v>
      </c>
      <c r="O415" s="8">
        <v>52.215499999999999</v>
      </c>
      <c r="P415" s="7">
        <v>-131.27099999999999</v>
      </c>
    </row>
    <row r="416" spans="1:16">
      <c r="A416">
        <v>1985</v>
      </c>
      <c r="B416">
        <v>2</v>
      </c>
      <c r="C416">
        <v>64114</v>
      </c>
      <c r="D416">
        <v>4700</v>
      </c>
      <c r="E416">
        <v>13</v>
      </c>
      <c r="F416">
        <v>0.87</v>
      </c>
      <c r="G416">
        <v>7.3</v>
      </c>
      <c r="H416">
        <v>76</v>
      </c>
      <c r="I416">
        <v>76</v>
      </c>
      <c r="J416">
        <v>76</v>
      </c>
      <c r="K416">
        <v>76</v>
      </c>
      <c r="L416">
        <v>0</v>
      </c>
      <c r="M416">
        <v>6</v>
      </c>
      <c r="N416" t="s">
        <v>30</v>
      </c>
      <c r="O416" s="8">
        <v>52.215499999999999</v>
      </c>
      <c r="P416" s="7">
        <v>-131.27099999999999</v>
      </c>
    </row>
    <row r="417" spans="1:16">
      <c r="A417">
        <v>1986</v>
      </c>
      <c r="B417">
        <v>0</v>
      </c>
      <c r="C417">
        <v>0</v>
      </c>
      <c r="D417">
        <v>0</v>
      </c>
      <c r="E417">
        <v>0</v>
      </c>
      <c r="F417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>
        <v>0</v>
      </c>
      <c r="M417">
        <v>6</v>
      </c>
      <c r="N417" t="s">
        <v>30</v>
      </c>
      <c r="O417" s="8">
        <v>52.215499999999999</v>
      </c>
      <c r="P417" s="7">
        <v>-131.27099999999999</v>
      </c>
    </row>
    <row r="418" spans="1:16">
      <c r="A418">
        <v>1987</v>
      </c>
      <c r="B418">
        <v>4</v>
      </c>
      <c r="C418">
        <v>35535</v>
      </c>
      <c r="D418">
        <v>2605</v>
      </c>
      <c r="E418">
        <v>13</v>
      </c>
      <c r="F418">
        <v>0.75</v>
      </c>
      <c r="G418">
        <v>8.4</v>
      </c>
      <c r="H418">
        <v>80.3</v>
      </c>
      <c r="I418">
        <v>75.400000000000006</v>
      </c>
      <c r="J418">
        <v>75</v>
      </c>
      <c r="K418">
        <v>96</v>
      </c>
      <c r="L418">
        <v>0</v>
      </c>
      <c r="M418">
        <v>6</v>
      </c>
      <c r="N418" t="s">
        <v>30</v>
      </c>
      <c r="O418" s="8">
        <v>52.215499999999999</v>
      </c>
      <c r="P418" s="7">
        <v>-131.27099999999999</v>
      </c>
    </row>
    <row r="419" spans="1:16">
      <c r="A419">
        <v>1988</v>
      </c>
      <c r="B419">
        <v>20</v>
      </c>
      <c r="C419">
        <v>155899</v>
      </c>
      <c r="D419">
        <v>12050</v>
      </c>
      <c r="E419">
        <v>8</v>
      </c>
      <c r="F419">
        <v>1.31</v>
      </c>
      <c r="G419">
        <v>7.7</v>
      </c>
      <c r="H419">
        <v>99.6</v>
      </c>
      <c r="I419">
        <v>99.1</v>
      </c>
      <c r="J419">
        <v>98</v>
      </c>
      <c r="K419">
        <v>102</v>
      </c>
      <c r="L419">
        <v>0</v>
      </c>
      <c r="M419">
        <v>6</v>
      </c>
      <c r="N419" t="s">
        <v>30</v>
      </c>
      <c r="O419" s="8">
        <v>52.215499999999999</v>
      </c>
      <c r="P419" s="7">
        <v>-131.27099999999999</v>
      </c>
    </row>
    <row r="420" spans="1:16">
      <c r="A420">
        <v>1989</v>
      </c>
      <c r="B420">
        <v>6</v>
      </c>
      <c r="C420">
        <v>235612</v>
      </c>
      <c r="D420">
        <v>17490</v>
      </c>
      <c r="E420">
        <v>34</v>
      </c>
      <c r="F420">
        <v>1.04</v>
      </c>
      <c r="G420">
        <v>7.1</v>
      </c>
      <c r="H420">
        <v>102.7</v>
      </c>
      <c r="I420">
        <v>102.1</v>
      </c>
      <c r="J420">
        <v>102</v>
      </c>
      <c r="K420">
        <v>103</v>
      </c>
      <c r="L420">
        <v>93</v>
      </c>
      <c r="M420">
        <v>6</v>
      </c>
      <c r="N420" t="s">
        <v>30</v>
      </c>
      <c r="O420" s="8">
        <v>52.215499999999999</v>
      </c>
      <c r="P420" s="7">
        <v>-131.27099999999999</v>
      </c>
    </row>
    <row r="421" spans="1:16">
      <c r="A421">
        <v>1990</v>
      </c>
      <c r="B421">
        <v>2</v>
      </c>
      <c r="C421">
        <v>125499</v>
      </c>
      <c r="D421">
        <v>9200</v>
      </c>
      <c r="E421">
        <v>67</v>
      </c>
      <c r="F421">
        <v>1.0900000000000001</v>
      </c>
      <c r="G421">
        <v>8.5</v>
      </c>
      <c r="H421">
        <v>96</v>
      </c>
      <c r="I421">
        <v>96</v>
      </c>
      <c r="J421">
        <v>96</v>
      </c>
      <c r="K421">
        <v>96</v>
      </c>
      <c r="L421">
        <v>100</v>
      </c>
      <c r="M421">
        <v>6</v>
      </c>
      <c r="N421" t="s">
        <v>30</v>
      </c>
      <c r="O421" s="8">
        <v>52.215499999999999</v>
      </c>
      <c r="P421" s="7">
        <v>-131.27099999999999</v>
      </c>
    </row>
    <row r="422" spans="1:16">
      <c r="A422">
        <v>1991</v>
      </c>
      <c r="B422">
        <v>3</v>
      </c>
      <c r="C422">
        <v>137094</v>
      </c>
      <c r="D422">
        <v>10050</v>
      </c>
      <c r="E422">
        <v>26</v>
      </c>
      <c r="F422">
        <v>1.25</v>
      </c>
      <c r="G422">
        <v>6.5</v>
      </c>
      <c r="H422">
        <v>85</v>
      </c>
      <c r="I422">
        <v>85</v>
      </c>
      <c r="J422">
        <v>85</v>
      </c>
      <c r="K422">
        <v>85</v>
      </c>
      <c r="L422">
        <v>100</v>
      </c>
      <c r="M422">
        <v>6</v>
      </c>
      <c r="N422" t="s">
        <v>30</v>
      </c>
      <c r="O422" s="8">
        <v>52.215499999999999</v>
      </c>
      <c r="P422" s="7">
        <v>-131.27099999999999</v>
      </c>
    </row>
    <row r="423" spans="1:16">
      <c r="A423">
        <v>1992</v>
      </c>
      <c r="B423">
        <v>3</v>
      </c>
      <c r="C423">
        <v>126181</v>
      </c>
      <c r="D423">
        <v>9250</v>
      </c>
      <c r="E423">
        <v>28</v>
      </c>
      <c r="F423">
        <v>1.1399999999999999</v>
      </c>
      <c r="G423">
        <v>9</v>
      </c>
      <c r="H423">
        <v>100</v>
      </c>
      <c r="I423">
        <v>100</v>
      </c>
      <c r="J423">
        <v>100</v>
      </c>
      <c r="K423">
        <v>100</v>
      </c>
      <c r="L423">
        <v>100</v>
      </c>
      <c r="M423">
        <v>6</v>
      </c>
      <c r="N423" t="s">
        <v>30</v>
      </c>
      <c r="O423" s="8">
        <v>52.215499999999999</v>
      </c>
      <c r="P423" s="7">
        <v>-131.27099999999999</v>
      </c>
    </row>
    <row r="424" spans="1:16">
      <c r="A424">
        <v>1993</v>
      </c>
      <c r="B424">
        <v>3</v>
      </c>
      <c r="C424">
        <v>49804</v>
      </c>
      <c r="D424">
        <v>3651</v>
      </c>
      <c r="E424">
        <v>50</v>
      </c>
      <c r="F424">
        <v>0.68</v>
      </c>
      <c r="G424">
        <v>6.9</v>
      </c>
      <c r="H424">
        <v>70</v>
      </c>
      <c r="I424">
        <v>70</v>
      </c>
      <c r="J424">
        <v>70</v>
      </c>
      <c r="K424">
        <v>70</v>
      </c>
      <c r="L424">
        <v>12</v>
      </c>
      <c r="M424">
        <v>6</v>
      </c>
      <c r="N424" t="s">
        <v>30</v>
      </c>
      <c r="O424" s="8">
        <v>52.215499999999999</v>
      </c>
      <c r="P424" s="7">
        <v>-131.27099999999999</v>
      </c>
    </row>
    <row r="425" spans="1:16">
      <c r="A425">
        <v>1994</v>
      </c>
      <c r="B425">
        <v>6</v>
      </c>
      <c r="C425">
        <v>25236</v>
      </c>
      <c r="D425">
        <v>1850</v>
      </c>
      <c r="E425">
        <v>7</v>
      </c>
      <c r="F425">
        <v>0.83</v>
      </c>
      <c r="G425">
        <v>7.4</v>
      </c>
      <c r="H425">
        <v>71</v>
      </c>
      <c r="I425">
        <v>72.099999999999994</v>
      </c>
      <c r="J425">
        <v>69</v>
      </c>
      <c r="K425">
        <v>73</v>
      </c>
      <c r="L425">
        <v>0</v>
      </c>
      <c r="M425">
        <v>6</v>
      </c>
      <c r="N425" t="s">
        <v>30</v>
      </c>
      <c r="O425" s="8">
        <v>52.215499999999999</v>
      </c>
      <c r="P425" s="7">
        <v>-131.27099999999999</v>
      </c>
    </row>
    <row r="426" spans="1:16">
      <c r="A426">
        <v>1995</v>
      </c>
      <c r="B426">
        <v>0</v>
      </c>
      <c r="C426">
        <v>0</v>
      </c>
      <c r="D426">
        <v>0</v>
      </c>
      <c r="E426">
        <v>0</v>
      </c>
      <c r="F426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>
        <v>0</v>
      </c>
      <c r="M426">
        <v>6</v>
      </c>
      <c r="N426" t="s">
        <v>30</v>
      </c>
      <c r="O426" s="8">
        <v>52.215499999999999</v>
      </c>
      <c r="P426" s="7">
        <v>-131.27099999999999</v>
      </c>
    </row>
    <row r="427" spans="1:16">
      <c r="A427">
        <v>1996</v>
      </c>
      <c r="B427">
        <v>3</v>
      </c>
      <c r="C427">
        <v>14801</v>
      </c>
      <c r="D427">
        <v>1085</v>
      </c>
      <c r="E427">
        <v>33</v>
      </c>
      <c r="F427">
        <v>1.31</v>
      </c>
      <c r="G427">
        <v>6.3</v>
      </c>
      <c r="H427">
        <v>77.3</v>
      </c>
      <c r="I427">
        <v>67.2</v>
      </c>
      <c r="J427">
        <v>60</v>
      </c>
      <c r="K427">
        <v>86</v>
      </c>
      <c r="L427">
        <v>72</v>
      </c>
      <c r="M427">
        <v>6</v>
      </c>
      <c r="N427" t="s">
        <v>30</v>
      </c>
      <c r="O427" s="8">
        <v>52.215499999999999</v>
      </c>
      <c r="P427" s="7">
        <v>-131.27099999999999</v>
      </c>
    </row>
    <row r="428" spans="1:16">
      <c r="A428">
        <v>1997</v>
      </c>
      <c r="B428">
        <v>1</v>
      </c>
      <c r="C428">
        <v>19780</v>
      </c>
      <c r="D428">
        <v>1450</v>
      </c>
      <c r="E428">
        <v>19</v>
      </c>
      <c r="F428">
        <v>0.86</v>
      </c>
      <c r="G428">
        <v>7.2</v>
      </c>
      <c r="H428">
        <v>88</v>
      </c>
      <c r="I428">
        <v>88</v>
      </c>
      <c r="J428">
        <v>88</v>
      </c>
      <c r="K428">
        <v>88</v>
      </c>
      <c r="L428">
        <v>100</v>
      </c>
      <c r="M428">
        <v>6</v>
      </c>
      <c r="N428" t="s">
        <v>30</v>
      </c>
      <c r="O428" s="8">
        <v>52.215499999999999</v>
      </c>
      <c r="P428" s="7">
        <v>-131.27099999999999</v>
      </c>
    </row>
    <row r="429" spans="1:16">
      <c r="A429">
        <v>1998</v>
      </c>
      <c r="B429">
        <v>7</v>
      </c>
      <c r="C429">
        <v>24895</v>
      </c>
      <c r="D429">
        <v>1825</v>
      </c>
      <c r="E429">
        <v>23</v>
      </c>
      <c r="F429">
        <v>1.06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>
        <v>0</v>
      </c>
      <c r="M429">
        <v>6</v>
      </c>
      <c r="N429" t="s">
        <v>30</v>
      </c>
      <c r="O429" s="8">
        <v>52.215499999999999</v>
      </c>
      <c r="P429" s="7">
        <v>-131.27099999999999</v>
      </c>
    </row>
    <row r="430" spans="1:16">
      <c r="A430">
        <v>1999</v>
      </c>
      <c r="B430">
        <v>2</v>
      </c>
      <c r="C430">
        <v>19098</v>
      </c>
      <c r="D430">
        <v>1400</v>
      </c>
      <c r="E430">
        <v>17</v>
      </c>
      <c r="F430">
        <v>0.69</v>
      </c>
      <c r="G430">
        <v>7.6</v>
      </c>
      <c r="H430">
        <v>57</v>
      </c>
      <c r="I430">
        <v>57</v>
      </c>
      <c r="J430">
        <v>57</v>
      </c>
      <c r="K430">
        <v>57</v>
      </c>
      <c r="L430">
        <v>100</v>
      </c>
      <c r="M430">
        <v>6</v>
      </c>
      <c r="N430" t="s">
        <v>30</v>
      </c>
      <c r="O430" s="8">
        <v>52.215499999999999</v>
      </c>
      <c r="P430" s="7">
        <v>-131.27099999999999</v>
      </c>
    </row>
    <row r="431" spans="1:16">
      <c r="A431">
        <v>2000</v>
      </c>
      <c r="B431">
        <v>0</v>
      </c>
      <c r="C431">
        <v>0</v>
      </c>
      <c r="D431">
        <v>0</v>
      </c>
      <c r="E431">
        <v>0</v>
      </c>
      <c r="F431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>
        <v>0</v>
      </c>
      <c r="M431">
        <v>6</v>
      </c>
      <c r="N431" t="s">
        <v>30</v>
      </c>
      <c r="O431" s="8">
        <v>52.215499999999999</v>
      </c>
      <c r="P431" s="7">
        <v>-131.27099999999999</v>
      </c>
    </row>
    <row r="432" spans="1:16">
      <c r="A432">
        <v>2001</v>
      </c>
      <c r="B432">
        <v>2</v>
      </c>
      <c r="C432">
        <v>23872</v>
      </c>
      <c r="D432">
        <v>1750</v>
      </c>
      <c r="E432">
        <v>30</v>
      </c>
      <c r="F432">
        <v>1.22</v>
      </c>
      <c r="G432">
        <v>6.6</v>
      </c>
      <c r="H432">
        <v>58</v>
      </c>
      <c r="I432">
        <v>58</v>
      </c>
      <c r="J432">
        <v>58</v>
      </c>
      <c r="K432">
        <v>58</v>
      </c>
      <c r="L432">
        <v>100</v>
      </c>
      <c r="M432">
        <v>6</v>
      </c>
      <c r="N432" t="s">
        <v>30</v>
      </c>
      <c r="O432" s="8">
        <v>52.215499999999999</v>
      </c>
      <c r="P432" s="7">
        <v>-131.27099999999999</v>
      </c>
    </row>
    <row r="433" spans="1:16">
      <c r="A433">
        <v>2002</v>
      </c>
      <c r="B433">
        <v>2</v>
      </c>
      <c r="C433">
        <v>17734</v>
      </c>
      <c r="D433">
        <v>1300</v>
      </c>
      <c r="E433">
        <v>23</v>
      </c>
      <c r="F433">
        <v>0.81</v>
      </c>
      <c r="G433">
        <v>6.6</v>
      </c>
      <c r="H433">
        <v>61</v>
      </c>
      <c r="I433">
        <v>61</v>
      </c>
      <c r="J433">
        <v>61</v>
      </c>
      <c r="K433">
        <v>61</v>
      </c>
      <c r="L433">
        <v>100</v>
      </c>
      <c r="M433">
        <v>6</v>
      </c>
      <c r="N433" t="s">
        <v>30</v>
      </c>
      <c r="O433" s="8">
        <v>52.215499999999999</v>
      </c>
      <c r="P433" s="7">
        <v>-131.27099999999999</v>
      </c>
    </row>
    <row r="434" spans="1:16">
      <c r="A434">
        <v>2003</v>
      </c>
      <c r="B434">
        <v>0</v>
      </c>
      <c r="C434">
        <v>0</v>
      </c>
      <c r="D434">
        <v>0</v>
      </c>
      <c r="E434">
        <v>0</v>
      </c>
      <c r="F434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>
        <v>0</v>
      </c>
      <c r="M434">
        <v>6</v>
      </c>
      <c r="N434" t="s">
        <v>30</v>
      </c>
      <c r="O434" s="8">
        <v>52.215499999999999</v>
      </c>
      <c r="P434" s="7">
        <v>-131.27099999999999</v>
      </c>
    </row>
    <row r="435" spans="1:16">
      <c r="A435">
        <v>2004</v>
      </c>
      <c r="B435">
        <v>0</v>
      </c>
      <c r="C435">
        <v>0</v>
      </c>
      <c r="D435">
        <v>0</v>
      </c>
      <c r="E435">
        <v>0</v>
      </c>
      <c r="F435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>
        <v>0</v>
      </c>
      <c r="M435">
        <v>6</v>
      </c>
      <c r="N435" t="s">
        <v>30</v>
      </c>
      <c r="O435" s="8">
        <v>52.215499999999999</v>
      </c>
      <c r="P435" s="7">
        <v>-131.27099999999999</v>
      </c>
    </row>
    <row r="436" spans="1:16">
      <c r="A436">
        <v>2005</v>
      </c>
      <c r="B436">
        <v>2</v>
      </c>
      <c r="C436">
        <v>27282</v>
      </c>
      <c r="D436">
        <v>2000</v>
      </c>
      <c r="E436">
        <v>41</v>
      </c>
      <c r="F436">
        <v>1.1399999999999999</v>
      </c>
      <c r="G436">
        <v>7.6</v>
      </c>
      <c r="H436">
        <v>72</v>
      </c>
      <c r="I436">
        <v>72</v>
      </c>
      <c r="J436">
        <v>72</v>
      </c>
      <c r="K436">
        <v>72</v>
      </c>
      <c r="L436">
        <v>100</v>
      </c>
      <c r="M436">
        <v>6</v>
      </c>
      <c r="N436" t="s">
        <v>30</v>
      </c>
      <c r="O436" s="8">
        <v>52.215499999999999</v>
      </c>
      <c r="P436" s="7">
        <v>-131.27099999999999</v>
      </c>
    </row>
    <row r="437" spans="1:16">
      <c r="A437">
        <v>2006</v>
      </c>
      <c r="B437">
        <v>0</v>
      </c>
      <c r="C437">
        <v>0</v>
      </c>
      <c r="D437">
        <v>0</v>
      </c>
      <c r="E437">
        <v>0</v>
      </c>
      <c r="F437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>
        <v>0</v>
      </c>
      <c r="M437">
        <v>6</v>
      </c>
      <c r="N437" t="s">
        <v>30</v>
      </c>
      <c r="O437" s="8">
        <v>52.215499999999999</v>
      </c>
      <c r="P437" s="7">
        <v>-131.27099999999999</v>
      </c>
    </row>
    <row r="438" spans="1:16">
      <c r="A438">
        <v>2007</v>
      </c>
      <c r="B438">
        <v>1</v>
      </c>
      <c r="C438">
        <v>10913</v>
      </c>
      <c r="D438">
        <v>800</v>
      </c>
      <c r="E438">
        <v>4</v>
      </c>
      <c r="F438">
        <v>0.52</v>
      </c>
      <c r="G438" t="s">
        <v>0</v>
      </c>
      <c r="H438">
        <v>70</v>
      </c>
      <c r="I438">
        <v>70</v>
      </c>
      <c r="J438">
        <v>70</v>
      </c>
      <c r="K438">
        <v>70</v>
      </c>
      <c r="L438">
        <v>0</v>
      </c>
      <c r="M438">
        <v>6</v>
      </c>
      <c r="N438" t="s">
        <v>30</v>
      </c>
      <c r="O438" s="8">
        <v>52.215499999999999</v>
      </c>
      <c r="P438" s="7">
        <v>-131.27099999999999</v>
      </c>
    </row>
    <row r="439" spans="1:16">
      <c r="A439">
        <v>2008</v>
      </c>
      <c r="B439">
        <v>0</v>
      </c>
      <c r="C439">
        <v>0</v>
      </c>
      <c r="D439">
        <v>0</v>
      </c>
      <c r="E439">
        <v>0</v>
      </c>
      <c r="F439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>
        <v>0</v>
      </c>
      <c r="M439">
        <v>6</v>
      </c>
      <c r="N439" t="s">
        <v>30</v>
      </c>
      <c r="O439" s="8">
        <v>52.215499999999999</v>
      </c>
      <c r="P439" s="7">
        <v>-131.27099999999999</v>
      </c>
    </row>
    <row r="440" spans="1:16">
      <c r="A440">
        <v>2009</v>
      </c>
      <c r="B440">
        <v>0</v>
      </c>
      <c r="C440">
        <v>0</v>
      </c>
      <c r="D440">
        <v>0</v>
      </c>
      <c r="E440">
        <v>0</v>
      </c>
      <c r="F440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>
        <v>0</v>
      </c>
      <c r="M440">
        <v>6</v>
      </c>
      <c r="N440" t="s">
        <v>30</v>
      </c>
      <c r="O440" s="8">
        <v>52.215499999999999</v>
      </c>
      <c r="P440" s="7">
        <v>-131.27099999999999</v>
      </c>
    </row>
    <row r="441" spans="1:16">
      <c r="A441">
        <v>2010</v>
      </c>
      <c r="B441">
        <v>2</v>
      </c>
      <c r="C441">
        <v>10524</v>
      </c>
      <c r="D441">
        <v>920</v>
      </c>
      <c r="E441">
        <v>10</v>
      </c>
      <c r="F441">
        <v>1</v>
      </c>
      <c r="G441" t="s">
        <v>0</v>
      </c>
      <c r="H441">
        <v>95</v>
      </c>
      <c r="I441">
        <v>95</v>
      </c>
      <c r="J441">
        <v>95</v>
      </c>
      <c r="K441">
        <v>95</v>
      </c>
      <c r="L441">
        <v>0</v>
      </c>
      <c r="M441">
        <v>6</v>
      </c>
      <c r="N441" t="s">
        <v>30</v>
      </c>
      <c r="O441" s="8">
        <v>52.215499999999999</v>
      </c>
      <c r="P441" s="7">
        <v>-131.27099999999999</v>
      </c>
    </row>
    <row r="442" spans="1:16">
      <c r="A442">
        <v>2011</v>
      </c>
      <c r="B442">
        <v>4</v>
      </c>
      <c r="C442">
        <v>39559</v>
      </c>
      <c r="D442">
        <v>2900</v>
      </c>
      <c r="E442">
        <v>5</v>
      </c>
      <c r="F442">
        <v>0.78</v>
      </c>
      <c r="G442" t="s">
        <v>0</v>
      </c>
      <c r="H442">
        <v>71</v>
      </c>
      <c r="I442">
        <v>71</v>
      </c>
      <c r="J442">
        <v>71</v>
      </c>
      <c r="K442">
        <v>71</v>
      </c>
      <c r="L442">
        <v>0</v>
      </c>
      <c r="M442">
        <v>6</v>
      </c>
      <c r="N442" t="s">
        <v>30</v>
      </c>
      <c r="O442" s="8">
        <v>52.215499999999999</v>
      </c>
      <c r="P442" s="7">
        <v>-131.27099999999999</v>
      </c>
    </row>
    <row r="443" spans="1:16">
      <c r="A443">
        <v>2012</v>
      </c>
      <c r="B443">
        <v>9</v>
      </c>
      <c r="C443">
        <v>38877</v>
      </c>
      <c r="D443">
        <v>2850</v>
      </c>
      <c r="E443">
        <v>16</v>
      </c>
      <c r="F443">
        <v>1.9</v>
      </c>
      <c r="G443" t="s">
        <v>0</v>
      </c>
      <c r="H443">
        <v>66</v>
      </c>
      <c r="I443">
        <v>66</v>
      </c>
      <c r="J443">
        <v>66</v>
      </c>
      <c r="K443">
        <v>66</v>
      </c>
      <c r="L443">
        <v>0</v>
      </c>
      <c r="M443">
        <v>6</v>
      </c>
      <c r="N443" t="s">
        <v>30</v>
      </c>
      <c r="O443" s="8">
        <v>52.215499999999999</v>
      </c>
      <c r="P443" s="7">
        <v>-131.27099999999999</v>
      </c>
    </row>
    <row r="444" spans="1:16">
      <c r="A444">
        <v>2013</v>
      </c>
      <c r="B444">
        <v>2</v>
      </c>
      <c r="C444">
        <v>56611</v>
      </c>
      <c r="D444">
        <v>4150</v>
      </c>
      <c r="E444">
        <v>39</v>
      </c>
      <c r="F444">
        <v>0.92</v>
      </c>
      <c r="G444" t="s">
        <v>0</v>
      </c>
      <c r="H444">
        <v>77</v>
      </c>
      <c r="I444">
        <v>77</v>
      </c>
      <c r="J444">
        <v>77</v>
      </c>
      <c r="K444">
        <v>77</v>
      </c>
      <c r="L444">
        <v>100</v>
      </c>
      <c r="M444">
        <v>6</v>
      </c>
      <c r="N444" t="s">
        <v>30</v>
      </c>
      <c r="O444" s="8">
        <v>52.215499999999999</v>
      </c>
      <c r="P444" s="7">
        <v>-131.27099999999999</v>
      </c>
    </row>
    <row r="445" spans="1:16">
      <c r="A445" s="3">
        <v>1940</v>
      </c>
      <c r="B445" s="3">
        <v>2</v>
      </c>
      <c r="C445" s="3">
        <v>189174</v>
      </c>
      <c r="D445" s="3">
        <v>6434</v>
      </c>
      <c r="E445" s="3">
        <v>57</v>
      </c>
      <c r="F445" s="3">
        <v>4.0199999999999996</v>
      </c>
      <c r="G445" s="3">
        <v>11.5</v>
      </c>
      <c r="H445" s="3">
        <v>177</v>
      </c>
      <c r="I445" s="3">
        <v>177</v>
      </c>
      <c r="J445" s="3">
        <v>177</v>
      </c>
      <c r="K445" s="3">
        <v>177</v>
      </c>
      <c r="L445" s="3">
        <v>0</v>
      </c>
      <c r="M445">
        <v>11</v>
      </c>
      <c r="N445" t="s">
        <v>16</v>
      </c>
      <c r="O445" s="8">
        <v>53.6614</v>
      </c>
      <c r="P445" s="8">
        <v>-132.67099999999999</v>
      </c>
    </row>
    <row r="446" spans="1:16">
      <c r="A446" s="3">
        <v>1941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 t="s">
        <v>0</v>
      </c>
      <c r="H446" s="3" t="s">
        <v>0</v>
      </c>
      <c r="I446" s="3" t="s">
        <v>0</v>
      </c>
      <c r="J446" s="3" t="s">
        <v>0</v>
      </c>
      <c r="K446" s="3" t="s">
        <v>0</v>
      </c>
      <c r="L446" s="3">
        <v>0</v>
      </c>
      <c r="M446">
        <v>11</v>
      </c>
      <c r="N446" t="s">
        <v>16</v>
      </c>
      <c r="O446" s="8">
        <v>53.6614</v>
      </c>
      <c r="P446" s="8">
        <v>-132.67099999999999</v>
      </c>
    </row>
    <row r="447" spans="1:16">
      <c r="A447" s="3">
        <v>1942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 t="s">
        <v>0</v>
      </c>
      <c r="H447" s="3" t="s">
        <v>0</v>
      </c>
      <c r="I447" s="3" t="s">
        <v>0</v>
      </c>
      <c r="J447" s="3" t="s">
        <v>0</v>
      </c>
      <c r="K447" s="3" t="s">
        <v>0</v>
      </c>
      <c r="L447" s="3">
        <v>0</v>
      </c>
      <c r="M447">
        <v>11</v>
      </c>
      <c r="N447" t="s">
        <v>16</v>
      </c>
      <c r="O447" s="8">
        <v>53.6614</v>
      </c>
      <c r="P447" s="8">
        <v>-132.67099999999999</v>
      </c>
    </row>
    <row r="448" spans="1:16">
      <c r="A448" s="3">
        <v>1943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 t="s">
        <v>0</v>
      </c>
      <c r="H448" s="3" t="s">
        <v>0</v>
      </c>
      <c r="I448" s="3" t="s">
        <v>0</v>
      </c>
      <c r="J448" s="3" t="s">
        <v>0</v>
      </c>
      <c r="K448" s="3" t="s">
        <v>0</v>
      </c>
      <c r="L448" s="3">
        <v>0</v>
      </c>
      <c r="M448">
        <v>11</v>
      </c>
      <c r="N448" t="s">
        <v>16</v>
      </c>
      <c r="O448" s="8">
        <v>53.6614</v>
      </c>
      <c r="P448" s="8">
        <v>-132.67099999999999</v>
      </c>
    </row>
    <row r="449" spans="1:16">
      <c r="A449" s="3">
        <v>1944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 t="s">
        <v>0</v>
      </c>
      <c r="H449" s="3" t="s">
        <v>0</v>
      </c>
      <c r="I449" s="3" t="s">
        <v>0</v>
      </c>
      <c r="J449" s="3" t="s">
        <v>0</v>
      </c>
      <c r="K449" s="3" t="s">
        <v>0</v>
      </c>
      <c r="L449" s="3">
        <v>0</v>
      </c>
      <c r="M449">
        <v>11</v>
      </c>
      <c r="N449" t="s">
        <v>16</v>
      </c>
      <c r="O449" s="8">
        <v>53.6614</v>
      </c>
      <c r="P449" s="8">
        <v>-132.67099999999999</v>
      </c>
    </row>
    <row r="450" spans="1:16">
      <c r="A450" s="3">
        <v>1945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 t="s">
        <v>0</v>
      </c>
      <c r="H450" s="3" t="s">
        <v>0</v>
      </c>
      <c r="I450" s="3" t="s">
        <v>0</v>
      </c>
      <c r="J450" s="3" t="s">
        <v>0</v>
      </c>
      <c r="K450" s="3" t="s">
        <v>0</v>
      </c>
      <c r="L450" s="3">
        <v>0</v>
      </c>
      <c r="M450">
        <v>11</v>
      </c>
      <c r="N450" t="s">
        <v>16</v>
      </c>
      <c r="O450" s="8">
        <v>53.6614</v>
      </c>
      <c r="P450" s="8">
        <v>-132.67099999999999</v>
      </c>
    </row>
    <row r="451" spans="1:16">
      <c r="A451" s="3">
        <v>1946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 t="s">
        <v>0</v>
      </c>
      <c r="H451" s="3" t="s">
        <v>0</v>
      </c>
      <c r="I451" s="3" t="s">
        <v>0</v>
      </c>
      <c r="J451" s="3" t="s">
        <v>0</v>
      </c>
      <c r="K451" s="3" t="s">
        <v>0</v>
      </c>
      <c r="L451" s="3">
        <v>0</v>
      </c>
      <c r="M451">
        <v>11</v>
      </c>
      <c r="N451" t="s">
        <v>16</v>
      </c>
      <c r="O451" s="8">
        <v>53.6614</v>
      </c>
      <c r="P451" s="8">
        <v>-132.67099999999999</v>
      </c>
    </row>
    <row r="452" spans="1:16">
      <c r="A452" s="3">
        <v>1947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 t="s">
        <v>0</v>
      </c>
      <c r="H452" s="3" t="s">
        <v>0</v>
      </c>
      <c r="I452" s="3" t="s">
        <v>0</v>
      </c>
      <c r="J452" s="3" t="s">
        <v>0</v>
      </c>
      <c r="K452" s="3" t="s">
        <v>0</v>
      </c>
      <c r="L452" s="3">
        <v>0</v>
      </c>
      <c r="M452">
        <v>11</v>
      </c>
      <c r="N452" t="s">
        <v>16</v>
      </c>
      <c r="O452" s="8">
        <v>53.6614</v>
      </c>
      <c r="P452" s="8">
        <v>-132.67099999999999</v>
      </c>
    </row>
    <row r="453" spans="1:16">
      <c r="A453" s="3">
        <v>1948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 t="s">
        <v>0</v>
      </c>
      <c r="H453" s="3" t="s">
        <v>0</v>
      </c>
      <c r="I453" s="3" t="s">
        <v>0</v>
      </c>
      <c r="J453" s="3" t="s">
        <v>0</v>
      </c>
      <c r="K453" s="3" t="s">
        <v>0</v>
      </c>
      <c r="L453" s="3">
        <v>0</v>
      </c>
      <c r="M453">
        <v>11</v>
      </c>
      <c r="N453" t="s">
        <v>16</v>
      </c>
      <c r="O453" s="8">
        <v>53.6614</v>
      </c>
      <c r="P453" s="8">
        <v>-132.67099999999999</v>
      </c>
    </row>
    <row r="454" spans="1:16">
      <c r="A454" s="3">
        <v>1949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 t="s">
        <v>0</v>
      </c>
      <c r="H454" s="3" t="s">
        <v>0</v>
      </c>
      <c r="I454" s="3" t="s">
        <v>0</v>
      </c>
      <c r="J454" s="3" t="s">
        <v>0</v>
      </c>
      <c r="K454" s="3" t="s">
        <v>0</v>
      </c>
      <c r="L454" s="3">
        <v>0</v>
      </c>
      <c r="M454">
        <v>11</v>
      </c>
      <c r="N454" t="s">
        <v>16</v>
      </c>
      <c r="O454" s="8">
        <v>53.6614</v>
      </c>
      <c r="P454" s="8">
        <v>-132.67099999999999</v>
      </c>
    </row>
    <row r="455" spans="1:16">
      <c r="A455" s="3">
        <v>1950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 t="s">
        <v>0</v>
      </c>
      <c r="H455" s="3" t="s">
        <v>0</v>
      </c>
      <c r="I455" s="3" t="s">
        <v>0</v>
      </c>
      <c r="J455" s="3" t="s">
        <v>0</v>
      </c>
      <c r="K455" s="3" t="s">
        <v>0</v>
      </c>
      <c r="L455" s="3">
        <v>0</v>
      </c>
      <c r="M455">
        <v>11</v>
      </c>
      <c r="N455" t="s">
        <v>16</v>
      </c>
      <c r="O455" s="8">
        <v>53.6614</v>
      </c>
      <c r="P455" s="8">
        <v>-132.67099999999999</v>
      </c>
    </row>
    <row r="456" spans="1:16">
      <c r="A456" s="3">
        <v>1951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 t="s">
        <v>0</v>
      </c>
      <c r="H456" s="3" t="s">
        <v>0</v>
      </c>
      <c r="I456" s="3" t="s">
        <v>0</v>
      </c>
      <c r="J456" s="3" t="s">
        <v>0</v>
      </c>
      <c r="K456" s="3" t="s">
        <v>0</v>
      </c>
      <c r="L456" s="3">
        <v>0</v>
      </c>
      <c r="M456">
        <v>11</v>
      </c>
      <c r="N456" t="s">
        <v>16</v>
      </c>
      <c r="O456" s="8">
        <v>53.6614</v>
      </c>
      <c r="P456" s="8">
        <v>-132.67099999999999</v>
      </c>
    </row>
    <row r="457" spans="1:16">
      <c r="A457" s="3">
        <v>1952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 t="s">
        <v>0</v>
      </c>
      <c r="H457" s="3" t="s">
        <v>0</v>
      </c>
      <c r="I457" s="3" t="s">
        <v>0</v>
      </c>
      <c r="J457" s="3" t="s">
        <v>0</v>
      </c>
      <c r="K457" s="3" t="s">
        <v>0</v>
      </c>
      <c r="L457" s="3">
        <v>0</v>
      </c>
      <c r="M457">
        <v>11</v>
      </c>
      <c r="N457" t="s">
        <v>16</v>
      </c>
      <c r="O457" s="8">
        <v>53.6614</v>
      </c>
      <c r="P457" s="8">
        <v>-132.67099999999999</v>
      </c>
    </row>
    <row r="458" spans="1:16">
      <c r="A458" s="3">
        <v>1953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 t="s">
        <v>0</v>
      </c>
      <c r="H458" s="3" t="s">
        <v>0</v>
      </c>
      <c r="I458" s="3" t="s">
        <v>0</v>
      </c>
      <c r="J458" s="3" t="s">
        <v>0</v>
      </c>
      <c r="K458" s="3" t="s">
        <v>0</v>
      </c>
      <c r="L458" s="3">
        <v>0</v>
      </c>
      <c r="M458">
        <v>11</v>
      </c>
      <c r="N458" t="s">
        <v>16</v>
      </c>
      <c r="O458" s="8">
        <v>53.6614</v>
      </c>
      <c r="P458" s="8">
        <v>-132.67099999999999</v>
      </c>
    </row>
    <row r="459" spans="1:16">
      <c r="A459" s="3">
        <v>1954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 t="s">
        <v>0</v>
      </c>
      <c r="H459" s="3" t="s">
        <v>0</v>
      </c>
      <c r="I459" s="3" t="s">
        <v>0</v>
      </c>
      <c r="J459" s="3" t="s">
        <v>0</v>
      </c>
      <c r="K459" s="3" t="s">
        <v>0</v>
      </c>
      <c r="L459" s="3">
        <v>0</v>
      </c>
      <c r="M459">
        <v>11</v>
      </c>
      <c r="N459" t="s">
        <v>16</v>
      </c>
      <c r="O459" s="8">
        <v>53.6614</v>
      </c>
      <c r="P459" s="8">
        <v>-132.67099999999999</v>
      </c>
    </row>
    <row r="460" spans="1:16">
      <c r="A460" s="3">
        <v>1955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 t="s">
        <v>0</v>
      </c>
      <c r="H460" s="3" t="s">
        <v>0</v>
      </c>
      <c r="I460" s="3" t="s">
        <v>0</v>
      </c>
      <c r="J460" s="3" t="s">
        <v>0</v>
      </c>
      <c r="K460" s="3" t="s">
        <v>0</v>
      </c>
      <c r="L460" s="3">
        <v>0</v>
      </c>
      <c r="M460">
        <v>11</v>
      </c>
      <c r="N460" t="s">
        <v>16</v>
      </c>
      <c r="O460" s="8">
        <v>53.6614</v>
      </c>
      <c r="P460" s="8">
        <v>-132.67099999999999</v>
      </c>
    </row>
    <row r="461" spans="1:16">
      <c r="A461" s="3">
        <v>1956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 t="s">
        <v>0</v>
      </c>
      <c r="H461" s="3" t="s">
        <v>0</v>
      </c>
      <c r="I461" s="3" t="s">
        <v>0</v>
      </c>
      <c r="J461" s="3" t="s">
        <v>0</v>
      </c>
      <c r="K461" s="3" t="s">
        <v>0</v>
      </c>
      <c r="L461" s="3">
        <v>0</v>
      </c>
      <c r="M461">
        <v>11</v>
      </c>
      <c r="N461" t="s">
        <v>16</v>
      </c>
      <c r="O461" s="8">
        <v>53.6614</v>
      </c>
      <c r="P461" s="8">
        <v>-132.67099999999999</v>
      </c>
    </row>
    <row r="462" spans="1:16">
      <c r="A462" s="3">
        <v>1957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 t="s">
        <v>0</v>
      </c>
      <c r="H462" s="3" t="s">
        <v>0</v>
      </c>
      <c r="I462" s="3" t="s">
        <v>0</v>
      </c>
      <c r="J462" s="3" t="s">
        <v>0</v>
      </c>
      <c r="K462" s="3" t="s">
        <v>0</v>
      </c>
      <c r="L462" s="3">
        <v>0</v>
      </c>
      <c r="M462">
        <v>11</v>
      </c>
      <c r="N462" t="s">
        <v>16</v>
      </c>
      <c r="O462" s="8">
        <v>53.6614</v>
      </c>
      <c r="P462" s="8">
        <v>-132.67099999999999</v>
      </c>
    </row>
    <row r="463" spans="1:16">
      <c r="A463" s="3">
        <v>1958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 t="s">
        <v>0</v>
      </c>
      <c r="H463" s="3" t="s">
        <v>0</v>
      </c>
      <c r="I463" s="3" t="s">
        <v>0</v>
      </c>
      <c r="J463" s="3" t="s">
        <v>0</v>
      </c>
      <c r="K463" s="3" t="s">
        <v>0</v>
      </c>
      <c r="L463" s="3">
        <v>0</v>
      </c>
      <c r="M463">
        <v>11</v>
      </c>
      <c r="N463" t="s">
        <v>16</v>
      </c>
      <c r="O463" s="8">
        <v>53.6614</v>
      </c>
      <c r="P463" s="8">
        <v>-132.67099999999999</v>
      </c>
    </row>
    <row r="464" spans="1:16">
      <c r="A464" s="3">
        <v>1959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 t="s">
        <v>0</v>
      </c>
      <c r="H464" s="3" t="s">
        <v>0</v>
      </c>
      <c r="I464" s="3" t="s">
        <v>0</v>
      </c>
      <c r="J464" s="3" t="s">
        <v>0</v>
      </c>
      <c r="K464" s="3" t="s">
        <v>0</v>
      </c>
      <c r="L464" s="3">
        <v>0</v>
      </c>
      <c r="M464">
        <v>11</v>
      </c>
      <c r="N464" t="s">
        <v>16</v>
      </c>
      <c r="O464" s="8">
        <v>53.6614</v>
      </c>
      <c r="P464" s="8">
        <v>-132.67099999999999</v>
      </c>
    </row>
    <row r="465" spans="1:16">
      <c r="A465" s="3">
        <v>1960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 t="s">
        <v>0</v>
      </c>
      <c r="H465" s="3" t="s">
        <v>0</v>
      </c>
      <c r="I465" s="3" t="s">
        <v>0</v>
      </c>
      <c r="J465" s="3" t="s">
        <v>0</v>
      </c>
      <c r="K465" s="3" t="s">
        <v>0</v>
      </c>
      <c r="L465" s="3">
        <v>0</v>
      </c>
      <c r="M465">
        <v>11</v>
      </c>
      <c r="N465" t="s">
        <v>16</v>
      </c>
      <c r="O465" s="8">
        <v>53.6614</v>
      </c>
      <c r="P465" s="8">
        <v>-132.67099999999999</v>
      </c>
    </row>
    <row r="466" spans="1:16">
      <c r="A466" s="3">
        <v>1961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 t="s">
        <v>0</v>
      </c>
      <c r="H466" s="3" t="s">
        <v>0</v>
      </c>
      <c r="I466" s="3" t="s">
        <v>0</v>
      </c>
      <c r="J466" s="3" t="s">
        <v>0</v>
      </c>
      <c r="K466" s="3" t="s">
        <v>0</v>
      </c>
      <c r="L466" s="3">
        <v>0</v>
      </c>
      <c r="M466">
        <v>11</v>
      </c>
      <c r="N466" t="s">
        <v>16</v>
      </c>
      <c r="O466" s="8">
        <v>53.6614</v>
      </c>
      <c r="P466" s="8">
        <v>-132.67099999999999</v>
      </c>
    </row>
    <row r="467" spans="1:16">
      <c r="A467" s="3">
        <v>1962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 t="s">
        <v>0</v>
      </c>
      <c r="H467" s="3" t="s">
        <v>0</v>
      </c>
      <c r="I467" s="3" t="s">
        <v>0</v>
      </c>
      <c r="J467" s="3" t="s">
        <v>0</v>
      </c>
      <c r="K467" s="3" t="s">
        <v>0</v>
      </c>
      <c r="L467" s="3">
        <v>0</v>
      </c>
      <c r="M467">
        <v>11</v>
      </c>
      <c r="N467" t="s">
        <v>16</v>
      </c>
      <c r="O467" s="8">
        <v>53.6614</v>
      </c>
      <c r="P467" s="8">
        <v>-132.67099999999999</v>
      </c>
    </row>
    <row r="468" spans="1:16">
      <c r="A468" s="3">
        <v>1963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 t="s">
        <v>0</v>
      </c>
      <c r="H468" s="3" t="s">
        <v>0</v>
      </c>
      <c r="I468" s="3" t="s">
        <v>0</v>
      </c>
      <c r="J468" s="3" t="s">
        <v>0</v>
      </c>
      <c r="K468" s="3" t="s">
        <v>0</v>
      </c>
      <c r="L468" s="3">
        <v>0</v>
      </c>
      <c r="M468">
        <v>11</v>
      </c>
      <c r="N468" t="s">
        <v>16</v>
      </c>
      <c r="O468" s="8">
        <v>53.6614</v>
      </c>
      <c r="P468" s="8">
        <v>-132.67099999999999</v>
      </c>
    </row>
    <row r="469" spans="1:16">
      <c r="A469" s="3">
        <v>1964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 t="s">
        <v>0</v>
      </c>
      <c r="H469" s="3" t="s">
        <v>0</v>
      </c>
      <c r="I469" s="3" t="s">
        <v>0</v>
      </c>
      <c r="J469" s="3" t="s">
        <v>0</v>
      </c>
      <c r="K469" s="3" t="s">
        <v>0</v>
      </c>
      <c r="L469" s="3">
        <v>0</v>
      </c>
      <c r="M469">
        <v>11</v>
      </c>
      <c r="N469" t="s">
        <v>16</v>
      </c>
      <c r="O469" s="8">
        <v>53.6614</v>
      </c>
      <c r="P469" s="8">
        <v>-132.67099999999999</v>
      </c>
    </row>
    <row r="470" spans="1:16">
      <c r="A470" s="3">
        <v>1965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 t="s">
        <v>0</v>
      </c>
      <c r="H470" s="3" t="s">
        <v>0</v>
      </c>
      <c r="I470" s="3" t="s">
        <v>0</v>
      </c>
      <c r="J470" s="3" t="s">
        <v>0</v>
      </c>
      <c r="K470" s="3" t="s">
        <v>0</v>
      </c>
      <c r="L470" s="3">
        <v>0</v>
      </c>
      <c r="M470">
        <v>11</v>
      </c>
      <c r="N470" t="s">
        <v>16</v>
      </c>
      <c r="O470" s="8">
        <v>53.6614</v>
      </c>
      <c r="P470" s="8">
        <v>-132.67099999999999</v>
      </c>
    </row>
    <row r="471" spans="1:16">
      <c r="A471" s="3">
        <v>1966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 t="s">
        <v>0</v>
      </c>
      <c r="H471" s="3" t="s">
        <v>0</v>
      </c>
      <c r="I471" s="3" t="s">
        <v>0</v>
      </c>
      <c r="J471" s="3" t="s">
        <v>0</v>
      </c>
      <c r="K471" s="3" t="s">
        <v>0</v>
      </c>
      <c r="L471" s="3">
        <v>0</v>
      </c>
      <c r="M471">
        <v>11</v>
      </c>
      <c r="N471" t="s">
        <v>16</v>
      </c>
      <c r="O471" s="8">
        <v>53.6614</v>
      </c>
      <c r="P471" s="8">
        <v>-132.67099999999999</v>
      </c>
    </row>
    <row r="472" spans="1:16">
      <c r="A472" s="3">
        <v>1967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 t="s">
        <v>0</v>
      </c>
      <c r="H472" s="3" t="s">
        <v>0</v>
      </c>
      <c r="I472" s="3" t="s">
        <v>0</v>
      </c>
      <c r="J472" s="3" t="s">
        <v>0</v>
      </c>
      <c r="K472" s="3" t="s">
        <v>0</v>
      </c>
      <c r="L472" s="3">
        <v>0</v>
      </c>
      <c r="M472">
        <v>11</v>
      </c>
      <c r="N472" t="s">
        <v>16</v>
      </c>
      <c r="O472" s="8">
        <v>53.6614</v>
      </c>
      <c r="P472" s="8">
        <v>-132.67099999999999</v>
      </c>
    </row>
    <row r="473" spans="1:16">
      <c r="A473" s="3">
        <v>1968</v>
      </c>
      <c r="B473" s="3">
        <v>6</v>
      </c>
      <c r="C473" s="3">
        <v>41212</v>
      </c>
      <c r="D473" s="3">
        <v>2605</v>
      </c>
      <c r="E473" s="3">
        <v>23</v>
      </c>
      <c r="F473" s="3">
        <v>3.33</v>
      </c>
      <c r="G473" s="3">
        <v>10.1</v>
      </c>
      <c r="H473" s="3">
        <v>171</v>
      </c>
      <c r="I473" s="3">
        <v>172.1</v>
      </c>
      <c r="J473" s="3">
        <v>161</v>
      </c>
      <c r="K473" s="3">
        <v>177</v>
      </c>
      <c r="L473" s="3">
        <v>0</v>
      </c>
      <c r="M473">
        <v>11</v>
      </c>
      <c r="N473" t="s">
        <v>16</v>
      </c>
      <c r="O473" s="8">
        <v>53.6614</v>
      </c>
      <c r="P473" s="8">
        <v>-132.67099999999999</v>
      </c>
    </row>
    <row r="474" spans="1:16">
      <c r="A474" s="3">
        <v>1969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 t="s">
        <v>0</v>
      </c>
      <c r="H474" s="3" t="s">
        <v>0</v>
      </c>
      <c r="I474" s="3" t="s">
        <v>0</v>
      </c>
      <c r="J474" s="3" t="s">
        <v>0</v>
      </c>
      <c r="K474" s="3" t="s">
        <v>0</v>
      </c>
      <c r="L474" s="3">
        <v>0</v>
      </c>
      <c r="M474">
        <v>11</v>
      </c>
      <c r="N474" t="s">
        <v>16</v>
      </c>
      <c r="O474" s="8">
        <v>53.6614</v>
      </c>
      <c r="P474" s="8">
        <v>-132.67099999999999</v>
      </c>
    </row>
    <row r="475" spans="1:16">
      <c r="A475" s="3">
        <v>1970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 t="s">
        <v>0</v>
      </c>
      <c r="H475" s="3" t="s">
        <v>0</v>
      </c>
      <c r="I475" s="3" t="s">
        <v>0</v>
      </c>
      <c r="J475" s="3" t="s">
        <v>0</v>
      </c>
      <c r="K475" s="3" t="s">
        <v>0</v>
      </c>
      <c r="L475" s="3">
        <v>0</v>
      </c>
      <c r="M475">
        <v>11</v>
      </c>
      <c r="N475" t="s">
        <v>16</v>
      </c>
      <c r="O475" s="8">
        <v>53.6614</v>
      </c>
      <c r="P475" s="8">
        <v>-132.67099999999999</v>
      </c>
    </row>
    <row r="476" spans="1:16">
      <c r="A476" s="3">
        <v>1971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 t="s">
        <v>0</v>
      </c>
      <c r="H476" s="3" t="s">
        <v>0</v>
      </c>
      <c r="I476" s="3" t="s">
        <v>0</v>
      </c>
      <c r="J476" s="3" t="s">
        <v>0</v>
      </c>
      <c r="K476" s="3" t="s">
        <v>0</v>
      </c>
      <c r="L476" s="3">
        <v>0</v>
      </c>
      <c r="M476">
        <v>11</v>
      </c>
      <c r="N476" t="s">
        <v>16</v>
      </c>
      <c r="O476" s="8">
        <v>53.6614</v>
      </c>
      <c r="P476" s="8">
        <v>-132.67099999999999</v>
      </c>
    </row>
    <row r="477" spans="1:16">
      <c r="A477" s="3">
        <v>1972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 t="s">
        <v>0</v>
      </c>
      <c r="H477" s="3" t="s">
        <v>0</v>
      </c>
      <c r="I477" s="3" t="s">
        <v>0</v>
      </c>
      <c r="J477" s="3" t="s">
        <v>0</v>
      </c>
      <c r="K477" s="3" t="s">
        <v>0</v>
      </c>
      <c r="L477" s="3">
        <v>0</v>
      </c>
      <c r="M477">
        <v>11</v>
      </c>
      <c r="N477" t="s">
        <v>16</v>
      </c>
      <c r="O477" s="8">
        <v>53.6614</v>
      </c>
      <c r="P477" s="8">
        <v>-132.67099999999999</v>
      </c>
    </row>
    <row r="478" spans="1:16">
      <c r="A478" s="3">
        <v>1973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 t="s">
        <v>0</v>
      </c>
      <c r="H478" s="3" t="s">
        <v>0</v>
      </c>
      <c r="I478" s="3" t="s">
        <v>0</v>
      </c>
      <c r="J478" s="3" t="s">
        <v>0</v>
      </c>
      <c r="K478" s="3" t="s">
        <v>0</v>
      </c>
      <c r="L478" s="3">
        <v>0</v>
      </c>
      <c r="M478">
        <v>11</v>
      </c>
      <c r="N478" t="s">
        <v>16</v>
      </c>
      <c r="O478" s="8">
        <v>53.6614</v>
      </c>
      <c r="P478" s="8">
        <v>-132.67099999999999</v>
      </c>
    </row>
    <row r="479" spans="1:16">
      <c r="A479" s="3">
        <v>1974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 t="s">
        <v>0</v>
      </c>
      <c r="H479" s="3" t="s">
        <v>0</v>
      </c>
      <c r="I479" s="3" t="s">
        <v>0</v>
      </c>
      <c r="J479" s="3" t="s">
        <v>0</v>
      </c>
      <c r="K479" s="3" t="s">
        <v>0</v>
      </c>
      <c r="L479" s="3">
        <v>0</v>
      </c>
      <c r="M479">
        <v>11</v>
      </c>
      <c r="N479" t="s">
        <v>16</v>
      </c>
      <c r="O479" s="8">
        <v>53.6614</v>
      </c>
      <c r="P479" s="8">
        <v>-132.67099999999999</v>
      </c>
    </row>
    <row r="480" spans="1:16">
      <c r="A480" s="3">
        <v>1975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 t="s">
        <v>0</v>
      </c>
      <c r="H480" s="3" t="s">
        <v>0</v>
      </c>
      <c r="I480" s="3" t="s">
        <v>0</v>
      </c>
      <c r="J480" s="3" t="s">
        <v>0</v>
      </c>
      <c r="K480" s="3" t="s">
        <v>0</v>
      </c>
      <c r="L480" s="3">
        <v>0</v>
      </c>
      <c r="M480">
        <v>11</v>
      </c>
      <c r="N480" t="s">
        <v>16</v>
      </c>
      <c r="O480" s="8">
        <v>53.6614</v>
      </c>
      <c r="P480" s="8">
        <v>-132.67099999999999</v>
      </c>
    </row>
    <row r="481" spans="1:16">
      <c r="A481" s="3">
        <v>1976</v>
      </c>
      <c r="B481" s="3">
        <v>1</v>
      </c>
      <c r="C481" s="3">
        <v>163983</v>
      </c>
      <c r="D481" s="3">
        <v>3016</v>
      </c>
      <c r="E481" s="3">
        <v>91</v>
      </c>
      <c r="F481" s="3">
        <v>2.15</v>
      </c>
      <c r="G481" s="3">
        <v>9.6</v>
      </c>
      <c r="H481" s="3">
        <v>181</v>
      </c>
      <c r="I481" s="3">
        <v>181</v>
      </c>
      <c r="J481" s="3">
        <v>181</v>
      </c>
      <c r="K481" s="3">
        <v>181</v>
      </c>
      <c r="L481" s="3">
        <v>0</v>
      </c>
      <c r="M481">
        <v>11</v>
      </c>
      <c r="N481" t="s">
        <v>16</v>
      </c>
      <c r="O481" s="8">
        <v>53.6614</v>
      </c>
      <c r="P481" s="8">
        <v>-132.67099999999999</v>
      </c>
    </row>
    <row r="482" spans="1:16">
      <c r="A482" s="3">
        <v>1977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 t="s">
        <v>0</v>
      </c>
      <c r="H482" s="3" t="s">
        <v>0</v>
      </c>
      <c r="I482" s="3" t="s">
        <v>0</v>
      </c>
      <c r="J482" s="3" t="s">
        <v>0</v>
      </c>
      <c r="K482" s="3" t="s">
        <v>0</v>
      </c>
      <c r="L482" s="3">
        <v>0</v>
      </c>
      <c r="M482">
        <v>11</v>
      </c>
      <c r="N482" t="s">
        <v>16</v>
      </c>
      <c r="O482" s="8">
        <v>53.6614</v>
      </c>
      <c r="P482" s="8">
        <v>-132.67099999999999</v>
      </c>
    </row>
    <row r="483" spans="1:16">
      <c r="A483" s="3">
        <v>1978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 t="s">
        <v>0</v>
      </c>
      <c r="H483" s="3" t="s">
        <v>0</v>
      </c>
      <c r="I483" s="3" t="s">
        <v>0</v>
      </c>
      <c r="J483" s="3" t="s">
        <v>0</v>
      </c>
      <c r="K483" s="3" t="s">
        <v>0</v>
      </c>
      <c r="L483" s="3">
        <v>0</v>
      </c>
      <c r="M483">
        <v>11</v>
      </c>
      <c r="N483" t="s">
        <v>16</v>
      </c>
      <c r="O483" s="8">
        <v>53.6614</v>
      </c>
      <c r="P483" s="8">
        <v>-132.67099999999999</v>
      </c>
    </row>
    <row r="484" spans="1:16">
      <c r="A484" s="3">
        <v>1979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 t="s">
        <v>0</v>
      </c>
      <c r="H484" s="3" t="s">
        <v>0</v>
      </c>
      <c r="I484" s="3" t="s">
        <v>0</v>
      </c>
      <c r="J484" s="3" t="s">
        <v>0</v>
      </c>
      <c r="K484" s="3" t="s">
        <v>0</v>
      </c>
      <c r="L484" s="3">
        <v>0</v>
      </c>
      <c r="M484">
        <v>11</v>
      </c>
      <c r="N484" t="s">
        <v>16</v>
      </c>
      <c r="O484" s="8">
        <v>53.6614</v>
      </c>
      <c r="P484" s="8">
        <v>-132.67099999999999</v>
      </c>
    </row>
    <row r="485" spans="1:16">
      <c r="A485" s="3">
        <v>1980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 t="s">
        <v>0</v>
      </c>
      <c r="H485" s="3" t="s">
        <v>0</v>
      </c>
      <c r="I485" s="3" t="s">
        <v>0</v>
      </c>
      <c r="J485" s="3" t="s">
        <v>0</v>
      </c>
      <c r="K485" s="3" t="s">
        <v>0</v>
      </c>
      <c r="L485" s="3">
        <v>0</v>
      </c>
      <c r="M485">
        <v>11</v>
      </c>
      <c r="N485" t="s">
        <v>16</v>
      </c>
      <c r="O485" s="8">
        <v>53.6614</v>
      </c>
      <c r="P485" s="8">
        <v>-132.67099999999999</v>
      </c>
    </row>
    <row r="486" spans="1:16">
      <c r="A486" s="3">
        <v>1981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 t="s">
        <v>0</v>
      </c>
      <c r="H486" s="3" t="s">
        <v>0</v>
      </c>
      <c r="I486" s="3" t="s">
        <v>0</v>
      </c>
      <c r="J486" s="3" t="s">
        <v>0</v>
      </c>
      <c r="K486" s="3" t="s">
        <v>0</v>
      </c>
      <c r="L486" s="3">
        <v>0</v>
      </c>
      <c r="M486">
        <v>11</v>
      </c>
      <c r="N486" t="s">
        <v>16</v>
      </c>
      <c r="O486" s="8">
        <v>53.6614</v>
      </c>
      <c r="P486" s="8">
        <v>-132.67099999999999</v>
      </c>
    </row>
    <row r="487" spans="1:16">
      <c r="A487" s="3">
        <v>1982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 t="s">
        <v>0</v>
      </c>
      <c r="H487" s="3" t="s">
        <v>0</v>
      </c>
      <c r="I487" s="3" t="s">
        <v>0</v>
      </c>
      <c r="J487" s="3" t="s">
        <v>0</v>
      </c>
      <c r="K487" s="3" t="s">
        <v>0</v>
      </c>
      <c r="L487" s="3">
        <v>0</v>
      </c>
      <c r="M487">
        <v>11</v>
      </c>
      <c r="N487" t="s">
        <v>16</v>
      </c>
      <c r="O487" s="8">
        <v>53.6614</v>
      </c>
      <c r="P487" s="8">
        <v>-132.67099999999999</v>
      </c>
    </row>
    <row r="488" spans="1:16">
      <c r="A488" s="3">
        <v>1983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 t="s">
        <v>0</v>
      </c>
      <c r="H488" s="3" t="s">
        <v>0</v>
      </c>
      <c r="I488" s="3" t="s">
        <v>0</v>
      </c>
      <c r="J488" s="3" t="s">
        <v>0</v>
      </c>
      <c r="K488" s="3" t="s">
        <v>0</v>
      </c>
      <c r="L488" s="3">
        <v>0</v>
      </c>
      <c r="M488">
        <v>11</v>
      </c>
      <c r="N488" t="s">
        <v>16</v>
      </c>
      <c r="O488" s="8">
        <v>53.6614</v>
      </c>
      <c r="P488" s="8">
        <v>-132.67099999999999</v>
      </c>
    </row>
    <row r="489" spans="1:16">
      <c r="A489" s="3">
        <v>1984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 t="s">
        <v>0</v>
      </c>
      <c r="H489" s="3" t="s">
        <v>0</v>
      </c>
      <c r="I489" s="3" t="s">
        <v>0</v>
      </c>
      <c r="J489" s="3" t="s">
        <v>0</v>
      </c>
      <c r="K489" s="3" t="s">
        <v>0</v>
      </c>
      <c r="L489" s="3">
        <v>0</v>
      </c>
      <c r="M489">
        <v>11</v>
      </c>
      <c r="N489" t="s">
        <v>16</v>
      </c>
      <c r="O489" s="8">
        <v>53.6614</v>
      </c>
      <c r="P489" s="8">
        <v>-132.67099999999999</v>
      </c>
    </row>
    <row r="490" spans="1:16">
      <c r="A490" s="3">
        <v>1985</v>
      </c>
      <c r="B490" s="3">
        <v>10</v>
      </c>
      <c r="C490" s="3">
        <v>306218</v>
      </c>
      <c r="D490" s="3">
        <v>5632</v>
      </c>
      <c r="E490" s="3">
        <v>77</v>
      </c>
      <c r="F490" s="3">
        <v>0.55000000000000004</v>
      </c>
      <c r="G490" s="3">
        <v>10.199999999999999</v>
      </c>
      <c r="H490" s="3">
        <v>169</v>
      </c>
      <c r="I490" s="3">
        <v>169</v>
      </c>
      <c r="J490" s="3">
        <v>169</v>
      </c>
      <c r="K490" s="3">
        <v>169</v>
      </c>
      <c r="L490" s="3">
        <v>0</v>
      </c>
      <c r="M490">
        <v>11</v>
      </c>
      <c r="N490" t="s">
        <v>16</v>
      </c>
      <c r="O490" s="8">
        <v>53.6614</v>
      </c>
      <c r="P490" s="8">
        <v>-132.67099999999999</v>
      </c>
    </row>
    <row r="491" spans="1:16">
      <c r="A491" s="3">
        <v>1986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 t="s">
        <v>0</v>
      </c>
      <c r="H491" s="3" t="s">
        <v>0</v>
      </c>
      <c r="I491" s="3" t="s">
        <v>0</v>
      </c>
      <c r="J491" s="3" t="s">
        <v>0</v>
      </c>
      <c r="K491" s="3" t="s">
        <v>0</v>
      </c>
      <c r="L491" s="3">
        <v>0</v>
      </c>
      <c r="M491">
        <v>11</v>
      </c>
      <c r="N491" t="s">
        <v>16</v>
      </c>
      <c r="O491" s="8">
        <v>53.6614</v>
      </c>
      <c r="P491" s="8">
        <v>-132.67099999999999</v>
      </c>
    </row>
    <row r="492" spans="1:16">
      <c r="A492" s="3">
        <v>1987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 t="s">
        <v>0</v>
      </c>
      <c r="H492" s="3" t="s">
        <v>0</v>
      </c>
      <c r="I492" s="3" t="s">
        <v>0</v>
      </c>
      <c r="J492" s="3" t="s">
        <v>0</v>
      </c>
      <c r="K492" s="3" t="s">
        <v>0</v>
      </c>
      <c r="L492" s="3">
        <v>0</v>
      </c>
      <c r="M492">
        <v>11</v>
      </c>
      <c r="N492" t="s">
        <v>16</v>
      </c>
      <c r="O492" s="8">
        <v>53.6614</v>
      </c>
      <c r="P492" s="8">
        <v>-132.67099999999999</v>
      </c>
    </row>
    <row r="493" spans="1:16">
      <c r="A493" s="3">
        <v>1988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 t="s">
        <v>0</v>
      </c>
      <c r="H493" s="3" t="s">
        <v>0</v>
      </c>
      <c r="I493" s="3" t="s">
        <v>0</v>
      </c>
      <c r="J493" s="3" t="s">
        <v>0</v>
      </c>
      <c r="K493" s="3" t="s">
        <v>0</v>
      </c>
      <c r="L493" s="3">
        <v>0</v>
      </c>
      <c r="M493">
        <v>11</v>
      </c>
      <c r="N493" t="s">
        <v>16</v>
      </c>
      <c r="O493" s="8">
        <v>53.6614</v>
      </c>
      <c r="P493" s="8">
        <v>-132.67099999999999</v>
      </c>
    </row>
    <row r="494" spans="1:16">
      <c r="A494" s="3">
        <v>1989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 t="s">
        <v>0</v>
      </c>
      <c r="H494" s="3" t="s">
        <v>0</v>
      </c>
      <c r="I494" s="3" t="s">
        <v>0</v>
      </c>
      <c r="J494" s="3" t="s">
        <v>0</v>
      </c>
      <c r="K494" s="3" t="s">
        <v>0</v>
      </c>
      <c r="L494" s="3">
        <v>0</v>
      </c>
      <c r="M494">
        <v>11</v>
      </c>
      <c r="N494" t="s">
        <v>16</v>
      </c>
      <c r="O494" s="8">
        <v>53.6614</v>
      </c>
      <c r="P494" s="8">
        <v>-132.67099999999999</v>
      </c>
    </row>
    <row r="495" spans="1:16">
      <c r="A495" s="3">
        <v>1990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 t="s">
        <v>0</v>
      </c>
      <c r="H495" s="3" t="s">
        <v>0</v>
      </c>
      <c r="I495" s="3" t="s">
        <v>0</v>
      </c>
      <c r="J495" s="3" t="s">
        <v>0</v>
      </c>
      <c r="K495" s="3" t="s">
        <v>0</v>
      </c>
      <c r="L495" s="3">
        <v>0</v>
      </c>
      <c r="M495">
        <v>11</v>
      </c>
      <c r="N495" t="s">
        <v>16</v>
      </c>
      <c r="O495" s="8">
        <v>53.6614</v>
      </c>
      <c r="P495" s="8">
        <v>-132.67099999999999</v>
      </c>
    </row>
    <row r="496" spans="1:16">
      <c r="A496" s="3">
        <v>1991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 t="s">
        <v>0</v>
      </c>
      <c r="H496" s="3" t="s">
        <v>0</v>
      </c>
      <c r="I496" s="3" t="s">
        <v>0</v>
      </c>
      <c r="J496" s="3" t="s">
        <v>0</v>
      </c>
      <c r="K496" s="3" t="s">
        <v>0</v>
      </c>
      <c r="L496" s="3">
        <v>0</v>
      </c>
      <c r="M496">
        <v>11</v>
      </c>
      <c r="N496" t="s">
        <v>16</v>
      </c>
      <c r="O496" s="8">
        <v>53.6614</v>
      </c>
      <c r="P496" s="8">
        <v>-132.67099999999999</v>
      </c>
    </row>
    <row r="497" spans="1:16">
      <c r="A497" s="3">
        <v>1992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 t="s">
        <v>0</v>
      </c>
      <c r="H497" s="3" t="s">
        <v>0</v>
      </c>
      <c r="I497" s="3" t="s">
        <v>0</v>
      </c>
      <c r="J497" s="3" t="s">
        <v>0</v>
      </c>
      <c r="K497" s="3" t="s">
        <v>0</v>
      </c>
      <c r="L497" s="3">
        <v>0</v>
      </c>
      <c r="M497">
        <v>11</v>
      </c>
      <c r="N497" t="s">
        <v>16</v>
      </c>
      <c r="O497" s="8">
        <v>53.6614</v>
      </c>
      <c r="P497" s="8">
        <v>-132.67099999999999</v>
      </c>
    </row>
    <row r="498" spans="1:16">
      <c r="A498" s="3">
        <v>1993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 t="s">
        <v>0</v>
      </c>
      <c r="H498" s="3" t="s">
        <v>0</v>
      </c>
      <c r="I498" s="3" t="s">
        <v>0</v>
      </c>
      <c r="J498" s="3" t="s">
        <v>0</v>
      </c>
      <c r="K498" s="3" t="s">
        <v>0</v>
      </c>
      <c r="L498" s="3">
        <v>0</v>
      </c>
      <c r="M498">
        <v>11</v>
      </c>
      <c r="N498" t="s">
        <v>16</v>
      </c>
      <c r="O498" s="8">
        <v>53.6614</v>
      </c>
      <c r="P498" s="8">
        <v>-132.67099999999999</v>
      </c>
    </row>
    <row r="499" spans="1:16">
      <c r="A499" s="3">
        <v>1994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 t="s">
        <v>0</v>
      </c>
      <c r="H499" s="3" t="s">
        <v>0</v>
      </c>
      <c r="I499" s="3" t="s">
        <v>0</v>
      </c>
      <c r="J499" s="3" t="s">
        <v>0</v>
      </c>
      <c r="K499" s="3" t="s">
        <v>0</v>
      </c>
      <c r="L499" s="3">
        <v>0</v>
      </c>
      <c r="M499">
        <v>11</v>
      </c>
      <c r="N499" t="s">
        <v>16</v>
      </c>
      <c r="O499" s="8">
        <v>53.6614</v>
      </c>
      <c r="P499" s="8">
        <v>-132.67099999999999</v>
      </c>
    </row>
    <row r="500" spans="1:16">
      <c r="A500" s="3">
        <v>1995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 t="s">
        <v>0</v>
      </c>
      <c r="H500" s="3" t="s">
        <v>0</v>
      </c>
      <c r="I500" s="3" t="s">
        <v>0</v>
      </c>
      <c r="J500" s="3" t="s">
        <v>0</v>
      </c>
      <c r="K500" s="3" t="s">
        <v>0</v>
      </c>
      <c r="L500" s="3">
        <v>0</v>
      </c>
      <c r="M500">
        <v>11</v>
      </c>
      <c r="N500" t="s">
        <v>16</v>
      </c>
      <c r="O500" s="8">
        <v>53.6614</v>
      </c>
      <c r="P500" s="8">
        <v>-132.67099999999999</v>
      </c>
    </row>
    <row r="501" spans="1:16">
      <c r="A501" s="3">
        <v>1996</v>
      </c>
      <c r="B501" s="3">
        <v>1</v>
      </c>
      <c r="C501" s="3">
        <v>0</v>
      </c>
      <c r="D501" s="3">
        <v>0</v>
      </c>
      <c r="E501" s="3">
        <v>23</v>
      </c>
      <c r="F501" s="3">
        <v>4.13</v>
      </c>
      <c r="G501" s="3" t="s">
        <v>0</v>
      </c>
      <c r="H501" s="3" t="s">
        <v>0</v>
      </c>
      <c r="I501" s="3" t="s">
        <v>0</v>
      </c>
      <c r="J501" s="3" t="s">
        <v>0</v>
      </c>
      <c r="K501" s="3" t="s">
        <v>0</v>
      </c>
      <c r="L501" s="3">
        <v>0</v>
      </c>
      <c r="M501">
        <v>11</v>
      </c>
      <c r="N501" t="s">
        <v>16</v>
      </c>
      <c r="O501" s="8">
        <v>53.6614</v>
      </c>
      <c r="P501" s="8">
        <v>-132.67099999999999</v>
      </c>
    </row>
    <row r="502" spans="1:16">
      <c r="A502" s="3">
        <v>1997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 t="s">
        <v>0</v>
      </c>
      <c r="H502" s="3" t="s">
        <v>0</v>
      </c>
      <c r="I502" s="3" t="s">
        <v>0</v>
      </c>
      <c r="J502" s="3" t="s">
        <v>0</v>
      </c>
      <c r="K502" s="3" t="s">
        <v>0</v>
      </c>
      <c r="L502" s="3">
        <v>0</v>
      </c>
      <c r="M502">
        <v>11</v>
      </c>
      <c r="N502" t="s">
        <v>16</v>
      </c>
      <c r="O502" s="8">
        <v>53.6614</v>
      </c>
      <c r="P502" s="8">
        <v>-132.67099999999999</v>
      </c>
    </row>
    <row r="503" spans="1:16">
      <c r="A503" s="3">
        <v>1998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 t="s">
        <v>0</v>
      </c>
      <c r="H503" s="3" t="s">
        <v>0</v>
      </c>
      <c r="I503" s="3" t="s">
        <v>0</v>
      </c>
      <c r="J503" s="3" t="s">
        <v>0</v>
      </c>
      <c r="K503" s="3" t="s">
        <v>0</v>
      </c>
      <c r="L503" s="3">
        <v>0</v>
      </c>
      <c r="M503">
        <v>11</v>
      </c>
      <c r="N503" t="s">
        <v>16</v>
      </c>
      <c r="O503" s="8">
        <v>53.6614</v>
      </c>
      <c r="P503" s="8">
        <v>-132.67099999999999</v>
      </c>
    </row>
    <row r="504" spans="1:16">
      <c r="A504" s="3">
        <v>1999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 t="s">
        <v>0</v>
      </c>
      <c r="H504" s="3" t="s">
        <v>0</v>
      </c>
      <c r="I504" s="3" t="s">
        <v>0</v>
      </c>
      <c r="J504" s="3" t="s">
        <v>0</v>
      </c>
      <c r="K504" s="3" t="s">
        <v>0</v>
      </c>
      <c r="L504" s="3">
        <v>0</v>
      </c>
      <c r="M504">
        <v>11</v>
      </c>
      <c r="N504" t="s">
        <v>16</v>
      </c>
      <c r="O504" s="8">
        <v>53.6614</v>
      </c>
      <c r="P504" s="8">
        <v>-132.67099999999999</v>
      </c>
    </row>
    <row r="505" spans="1:16">
      <c r="A505" s="3">
        <v>2000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 t="s">
        <v>0</v>
      </c>
      <c r="H505" s="3" t="s">
        <v>0</v>
      </c>
      <c r="I505" s="3" t="s">
        <v>0</v>
      </c>
      <c r="J505" s="3" t="s">
        <v>0</v>
      </c>
      <c r="K505" s="3" t="s">
        <v>0</v>
      </c>
      <c r="L505" s="3">
        <v>0</v>
      </c>
      <c r="M505">
        <v>11</v>
      </c>
      <c r="N505" t="s">
        <v>16</v>
      </c>
      <c r="O505" s="8">
        <v>53.6614</v>
      </c>
      <c r="P505" s="8">
        <v>-132.67099999999999</v>
      </c>
    </row>
    <row r="506" spans="1:16">
      <c r="A506" s="3">
        <v>2001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 t="s">
        <v>0</v>
      </c>
      <c r="H506" s="3" t="s">
        <v>0</v>
      </c>
      <c r="I506" s="3" t="s">
        <v>0</v>
      </c>
      <c r="J506" s="3" t="s">
        <v>0</v>
      </c>
      <c r="K506" s="3" t="s">
        <v>0</v>
      </c>
      <c r="L506" s="3">
        <v>0</v>
      </c>
      <c r="M506">
        <v>11</v>
      </c>
      <c r="N506" t="s">
        <v>16</v>
      </c>
      <c r="O506" s="8">
        <v>53.6614</v>
      </c>
      <c r="P506" s="8">
        <v>-132.67099999999999</v>
      </c>
    </row>
    <row r="507" spans="1:16">
      <c r="A507" s="3">
        <v>2002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 t="s">
        <v>0</v>
      </c>
      <c r="H507" s="3" t="s">
        <v>0</v>
      </c>
      <c r="I507" s="3" t="s">
        <v>0</v>
      </c>
      <c r="J507" s="3" t="s">
        <v>0</v>
      </c>
      <c r="K507" s="3" t="s">
        <v>0</v>
      </c>
      <c r="L507" s="3">
        <v>0</v>
      </c>
      <c r="M507">
        <v>11</v>
      </c>
      <c r="N507" t="s">
        <v>16</v>
      </c>
      <c r="O507" s="8">
        <v>53.6614</v>
      </c>
      <c r="P507" s="8">
        <v>-132.67099999999999</v>
      </c>
    </row>
    <row r="508" spans="1:16">
      <c r="A508" s="3">
        <v>2003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 t="s">
        <v>0</v>
      </c>
      <c r="H508" s="3" t="s">
        <v>0</v>
      </c>
      <c r="I508" s="3" t="s">
        <v>0</v>
      </c>
      <c r="J508" s="3" t="s">
        <v>0</v>
      </c>
      <c r="K508" s="3" t="s">
        <v>0</v>
      </c>
      <c r="L508" s="3">
        <v>0</v>
      </c>
      <c r="M508">
        <v>11</v>
      </c>
      <c r="N508" t="s">
        <v>16</v>
      </c>
      <c r="O508" s="8">
        <v>53.6614</v>
      </c>
      <c r="P508" s="8">
        <v>-132.67099999999999</v>
      </c>
    </row>
    <row r="509" spans="1:16">
      <c r="A509" s="3">
        <v>2004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 t="s">
        <v>0</v>
      </c>
      <c r="H509" s="3" t="s">
        <v>0</v>
      </c>
      <c r="I509" s="3" t="s">
        <v>0</v>
      </c>
      <c r="J509" s="3" t="s">
        <v>0</v>
      </c>
      <c r="K509" s="3" t="s">
        <v>0</v>
      </c>
      <c r="L509" s="3">
        <v>0</v>
      </c>
      <c r="M509">
        <v>11</v>
      </c>
      <c r="N509" t="s">
        <v>16</v>
      </c>
      <c r="O509" s="8">
        <v>53.6614</v>
      </c>
      <c r="P509" s="8">
        <v>-132.67099999999999</v>
      </c>
    </row>
    <row r="510" spans="1:16">
      <c r="A510" s="3">
        <v>2005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 t="s">
        <v>0</v>
      </c>
      <c r="H510" s="3" t="s">
        <v>0</v>
      </c>
      <c r="I510" s="3" t="s">
        <v>0</v>
      </c>
      <c r="J510" s="3" t="s">
        <v>0</v>
      </c>
      <c r="K510" s="3" t="s">
        <v>0</v>
      </c>
      <c r="L510" s="3">
        <v>0</v>
      </c>
      <c r="M510">
        <v>11</v>
      </c>
      <c r="N510" t="s">
        <v>16</v>
      </c>
      <c r="O510" s="8">
        <v>53.6614</v>
      </c>
      <c r="P510" s="8">
        <v>-132.67099999999999</v>
      </c>
    </row>
    <row r="511" spans="1:16">
      <c r="A511" s="3">
        <v>2006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 t="s">
        <v>0</v>
      </c>
      <c r="H511" s="3" t="s">
        <v>0</v>
      </c>
      <c r="I511" s="3" t="s">
        <v>0</v>
      </c>
      <c r="J511" s="3" t="s">
        <v>0</v>
      </c>
      <c r="K511" s="3" t="s">
        <v>0</v>
      </c>
      <c r="L511" s="3">
        <v>0</v>
      </c>
      <c r="M511">
        <v>11</v>
      </c>
      <c r="N511" t="s">
        <v>16</v>
      </c>
      <c r="O511" s="8">
        <v>53.6614</v>
      </c>
      <c r="P511" s="8">
        <v>-132.67099999999999</v>
      </c>
    </row>
    <row r="512" spans="1:16">
      <c r="A512" s="3">
        <v>2007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 t="s">
        <v>0</v>
      </c>
      <c r="H512" s="3" t="s">
        <v>0</v>
      </c>
      <c r="I512" s="3" t="s">
        <v>0</v>
      </c>
      <c r="J512" s="3" t="s">
        <v>0</v>
      </c>
      <c r="K512" s="3" t="s">
        <v>0</v>
      </c>
      <c r="L512" s="3">
        <v>0</v>
      </c>
      <c r="M512">
        <v>11</v>
      </c>
      <c r="N512" t="s">
        <v>16</v>
      </c>
      <c r="O512" s="8">
        <v>53.6614</v>
      </c>
      <c r="P512" s="8">
        <v>-132.67099999999999</v>
      </c>
    </row>
    <row r="513" spans="1:16">
      <c r="A513" s="3">
        <v>2008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 t="s">
        <v>0</v>
      </c>
      <c r="H513" s="3" t="s">
        <v>0</v>
      </c>
      <c r="I513" s="3" t="s">
        <v>0</v>
      </c>
      <c r="J513" s="3" t="s">
        <v>0</v>
      </c>
      <c r="K513" s="3" t="s">
        <v>0</v>
      </c>
      <c r="L513" s="3">
        <v>0</v>
      </c>
      <c r="M513">
        <v>11</v>
      </c>
      <c r="N513" t="s">
        <v>16</v>
      </c>
      <c r="O513" s="8">
        <v>53.6614</v>
      </c>
      <c r="P513" s="8">
        <v>-132.67099999999999</v>
      </c>
    </row>
    <row r="514" spans="1:16">
      <c r="A514" s="3">
        <v>2009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 t="s">
        <v>0</v>
      </c>
      <c r="H514" s="3" t="s">
        <v>0</v>
      </c>
      <c r="I514" s="3" t="s">
        <v>0</v>
      </c>
      <c r="J514" s="3" t="s">
        <v>0</v>
      </c>
      <c r="K514" s="3" t="s">
        <v>0</v>
      </c>
      <c r="L514" s="3">
        <v>0</v>
      </c>
      <c r="M514">
        <v>11</v>
      </c>
      <c r="N514" t="s">
        <v>16</v>
      </c>
      <c r="O514" s="8">
        <v>53.6614</v>
      </c>
      <c r="P514" s="8">
        <v>-132.67099999999999</v>
      </c>
    </row>
    <row r="515" spans="1:16">
      <c r="A515" s="3">
        <v>2010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 t="s">
        <v>0</v>
      </c>
      <c r="H515" s="3" t="s">
        <v>0</v>
      </c>
      <c r="I515" s="3" t="s">
        <v>0</v>
      </c>
      <c r="J515" s="3" t="s">
        <v>0</v>
      </c>
      <c r="K515" s="3" t="s">
        <v>0</v>
      </c>
      <c r="L515" s="3">
        <v>0</v>
      </c>
      <c r="M515">
        <v>11</v>
      </c>
      <c r="N515" t="s">
        <v>16</v>
      </c>
      <c r="O515" s="8">
        <v>53.6614</v>
      </c>
      <c r="P515" s="8">
        <v>-132.67099999999999</v>
      </c>
    </row>
    <row r="516" spans="1:16">
      <c r="A516" s="3">
        <v>2011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 t="s">
        <v>0</v>
      </c>
      <c r="H516" s="3" t="s">
        <v>0</v>
      </c>
      <c r="I516" s="3" t="s">
        <v>0</v>
      </c>
      <c r="J516" s="3" t="s">
        <v>0</v>
      </c>
      <c r="K516" s="3" t="s">
        <v>0</v>
      </c>
      <c r="L516" s="3">
        <v>0</v>
      </c>
      <c r="M516">
        <v>11</v>
      </c>
      <c r="N516" t="s">
        <v>16</v>
      </c>
      <c r="O516" s="8">
        <v>53.6614</v>
      </c>
      <c r="P516" s="8">
        <v>-132.67099999999999</v>
      </c>
    </row>
    <row r="517" spans="1:16">
      <c r="A517" s="3">
        <v>2012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 t="s">
        <v>0</v>
      </c>
      <c r="H517" s="3" t="s">
        <v>0</v>
      </c>
      <c r="I517" s="3" t="s">
        <v>0</v>
      </c>
      <c r="J517" s="3" t="s">
        <v>0</v>
      </c>
      <c r="K517" s="3" t="s">
        <v>0</v>
      </c>
      <c r="L517" s="3">
        <v>0</v>
      </c>
      <c r="M517">
        <v>11</v>
      </c>
      <c r="N517" t="s">
        <v>16</v>
      </c>
      <c r="O517" s="8">
        <v>53.6614</v>
      </c>
      <c r="P517" s="8">
        <v>-132.67099999999999</v>
      </c>
    </row>
    <row r="518" spans="1:16">
      <c r="A518" s="3">
        <v>2013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 t="s">
        <v>0</v>
      </c>
      <c r="H518" s="3" t="s">
        <v>0</v>
      </c>
      <c r="I518" s="3" t="s">
        <v>0</v>
      </c>
      <c r="J518" s="3" t="s">
        <v>0</v>
      </c>
      <c r="K518" s="3" t="s">
        <v>0</v>
      </c>
      <c r="L518" s="3">
        <v>0</v>
      </c>
      <c r="M518">
        <v>11</v>
      </c>
      <c r="N518" t="s">
        <v>16</v>
      </c>
      <c r="O518" s="8">
        <v>53.6614</v>
      </c>
      <c r="P518" s="8">
        <v>-132.67099999999999</v>
      </c>
    </row>
    <row r="519" spans="1:16">
      <c r="A519">
        <v>1940</v>
      </c>
      <c r="B519">
        <v>0</v>
      </c>
      <c r="C519">
        <v>0</v>
      </c>
      <c r="D519">
        <v>0</v>
      </c>
      <c r="E519">
        <v>0</v>
      </c>
      <c r="F519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>
        <v>0</v>
      </c>
      <c r="M519">
        <v>12</v>
      </c>
      <c r="N519" t="s">
        <v>15</v>
      </c>
      <c r="O519" s="8">
        <v>53.968200000000003</v>
      </c>
      <c r="P519" s="7">
        <v>-132.64500000000001</v>
      </c>
    </row>
    <row r="520" spans="1:16">
      <c r="A520">
        <v>1941</v>
      </c>
      <c r="B520">
        <v>0</v>
      </c>
      <c r="C520">
        <v>0</v>
      </c>
      <c r="D520">
        <v>0</v>
      </c>
      <c r="E520">
        <v>0</v>
      </c>
      <c r="F520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>
        <v>0</v>
      </c>
      <c r="M520">
        <v>12</v>
      </c>
      <c r="N520" t="s">
        <v>15</v>
      </c>
      <c r="O520" s="8">
        <v>53.968200000000003</v>
      </c>
      <c r="P520" s="7">
        <v>-132.64500000000001</v>
      </c>
    </row>
    <row r="521" spans="1:16">
      <c r="A521">
        <v>1942</v>
      </c>
      <c r="B521">
        <v>0</v>
      </c>
      <c r="C521">
        <v>0</v>
      </c>
      <c r="D521">
        <v>0</v>
      </c>
      <c r="E521">
        <v>0</v>
      </c>
      <c r="F521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>
        <v>0</v>
      </c>
      <c r="M521">
        <v>12</v>
      </c>
      <c r="N521" t="s">
        <v>15</v>
      </c>
      <c r="O521" s="8">
        <v>53.968200000000003</v>
      </c>
      <c r="P521" s="7">
        <v>-132.64500000000001</v>
      </c>
    </row>
    <row r="522" spans="1:16">
      <c r="A522">
        <v>1943</v>
      </c>
      <c r="B522">
        <v>0</v>
      </c>
      <c r="C522">
        <v>0</v>
      </c>
      <c r="D522">
        <v>0</v>
      </c>
      <c r="E522">
        <v>0</v>
      </c>
      <c r="F522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>
        <v>0</v>
      </c>
      <c r="M522">
        <v>12</v>
      </c>
      <c r="N522" t="s">
        <v>15</v>
      </c>
      <c r="O522" s="8">
        <v>53.968200000000003</v>
      </c>
      <c r="P522" s="7">
        <v>-132.64500000000001</v>
      </c>
    </row>
    <row r="523" spans="1:16">
      <c r="A523">
        <v>1944</v>
      </c>
      <c r="B523">
        <v>0</v>
      </c>
      <c r="C523">
        <v>0</v>
      </c>
      <c r="D523">
        <v>0</v>
      </c>
      <c r="E523">
        <v>0</v>
      </c>
      <c r="F523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>
        <v>0</v>
      </c>
      <c r="M523">
        <v>12</v>
      </c>
      <c r="N523" t="s">
        <v>15</v>
      </c>
      <c r="O523" s="8">
        <v>53.968200000000003</v>
      </c>
      <c r="P523" s="7">
        <v>-132.64500000000001</v>
      </c>
    </row>
    <row r="524" spans="1:16">
      <c r="A524">
        <v>1945</v>
      </c>
      <c r="B524">
        <v>0</v>
      </c>
      <c r="C524">
        <v>0</v>
      </c>
      <c r="D524">
        <v>0</v>
      </c>
      <c r="E524">
        <v>0</v>
      </c>
      <c r="F524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>
        <v>0</v>
      </c>
      <c r="M524">
        <v>12</v>
      </c>
      <c r="N524" t="s">
        <v>15</v>
      </c>
      <c r="O524" s="8">
        <v>53.968200000000003</v>
      </c>
      <c r="P524" s="7">
        <v>-132.64500000000001</v>
      </c>
    </row>
    <row r="525" spans="1:16">
      <c r="A525">
        <v>1946</v>
      </c>
      <c r="B525">
        <v>0</v>
      </c>
      <c r="C525">
        <v>0</v>
      </c>
      <c r="D525">
        <v>0</v>
      </c>
      <c r="E525">
        <v>0</v>
      </c>
      <c r="F525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>
        <v>0</v>
      </c>
      <c r="M525">
        <v>12</v>
      </c>
      <c r="N525" t="s">
        <v>15</v>
      </c>
      <c r="O525" s="8">
        <v>53.968200000000003</v>
      </c>
      <c r="P525" s="7">
        <v>-132.64500000000001</v>
      </c>
    </row>
    <row r="526" spans="1:16">
      <c r="A526">
        <v>1947</v>
      </c>
      <c r="B526">
        <v>0</v>
      </c>
      <c r="C526">
        <v>0</v>
      </c>
      <c r="D526">
        <v>0</v>
      </c>
      <c r="E526">
        <v>0</v>
      </c>
      <c r="F526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>
        <v>0</v>
      </c>
      <c r="M526">
        <v>12</v>
      </c>
      <c r="N526" t="s">
        <v>15</v>
      </c>
      <c r="O526" s="8">
        <v>53.968200000000003</v>
      </c>
      <c r="P526" s="7">
        <v>-132.64500000000001</v>
      </c>
    </row>
    <row r="527" spans="1:16">
      <c r="A527">
        <v>1948</v>
      </c>
      <c r="B527">
        <v>0</v>
      </c>
      <c r="C527">
        <v>0</v>
      </c>
      <c r="D527">
        <v>0</v>
      </c>
      <c r="E527">
        <v>0</v>
      </c>
      <c r="F527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>
        <v>0</v>
      </c>
      <c r="M527">
        <v>12</v>
      </c>
      <c r="N527" t="s">
        <v>15</v>
      </c>
      <c r="O527" s="8">
        <v>53.968200000000003</v>
      </c>
      <c r="P527" s="7">
        <v>-132.64500000000001</v>
      </c>
    </row>
    <row r="528" spans="1:16">
      <c r="A528">
        <v>1949</v>
      </c>
      <c r="B528">
        <v>0</v>
      </c>
      <c r="C528">
        <v>0</v>
      </c>
      <c r="D528">
        <v>0</v>
      </c>
      <c r="E528">
        <v>0</v>
      </c>
      <c r="F528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>
        <v>0</v>
      </c>
      <c r="M528">
        <v>12</v>
      </c>
      <c r="N528" t="s">
        <v>15</v>
      </c>
      <c r="O528" s="8">
        <v>53.968200000000003</v>
      </c>
      <c r="P528" s="7">
        <v>-132.64500000000001</v>
      </c>
    </row>
    <row r="529" spans="1:16">
      <c r="A529">
        <v>1950</v>
      </c>
      <c r="B529">
        <v>0</v>
      </c>
      <c r="C529">
        <v>0</v>
      </c>
      <c r="D529">
        <v>0</v>
      </c>
      <c r="E529">
        <v>0</v>
      </c>
      <c r="F529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>
        <v>0</v>
      </c>
      <c r="M529">
        <v>12</v>
      </c>
      <c r="N529" t="s">
        <v>15</v>
      </c>
      <c r="O529" s="8">
        <v>53.968200000000003</v>
      </c>
      <c r="P529" s="7">
        <v>-132.64500000000001</v>
      </c>
    </row>
    <row r="530" spans="1:16">
      <c r="A530">
        <v>1951</v>
      </c>
      <c r="B530">
        <v>0</v>
      </c>
      <c r="C530">
        <v>0</v>
      </c>
      <c r="D530">
        <v>0</v>
      </c>
      <c r="E530">
        <v>0</v>
      </c>
      <c r="F530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>
        <v>0</v>
      </c>
      <c r="M530">
        <v>12</v>
      </c>
      <c r="N530" t="s">
        <v>15</v>
      </c>
      <c r="O530" s="8">
        <v>53.968200000000003</v>
      </c>
      <c r="P530" s="7">
        <v>-132.64500000000001</v>
      </c>
    </row>
    <row r="531" spans="1:16">
      <c r="A531">
        <v>1952</v>
      </c>
      <c r="B531">
        <v>0</v>
      </c>
      <c r="C531">
        <v>0</v>
      </c>
      <c r="D531">
        <v>0</v>
      </c>
      <c r="E531">
        <v>0</v>
      </c>
      <c r="F531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>
        <v>0</v>
      </c>
      <c r="M531">
        <v>12</v>
      </c>
      <c r="N531" t="s">
        <v>15</v>
      </c>
      <c r="O531" s="8">
        <v>53.968200000000003</v>
      </c>
      <c r="P531" s="7">
        <v>-132.64500000000001</v>
      </c>
    </row>
    <row r="532" spans="1:16">
      <c r="A532">
        <v>1953</v>
      </c>
      <c r="B532">
        <v>0</v>
      </c>
      <c r="C532">
        <v>0</v>
      </c>
      <c r="D532">
        <v>0</v>
      </c>
      <c r="E532">
        <v>0</v>
      </c>
      <c r="F532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>
        <v>0</v>
      </c>
      <c r="M532">
        <v>12</v>
      </c>
      <c r="N532" t="s">
        <v>15</v>
      </c>
      <c r="O532" s="8">
        <v>53.968200000000003</v>
      </c>
      <c r="P532" s="7">
        <v>-132.64500000000001</v>
      </c>
    </row>
    <row r="533" spans="1:16">
      <c r="A533">
        <v>1954</v>
      </c>
      <c r="B533">
        <v>0</v>
      </c>
      <c r="C533">
        <v>0</v>
      </c>
      <c r="D533">
        <v>0</v>
      </c>
      <c r="E533">
        <v>0</v>
      </c>
      <c r="F533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>
        <v>0</v>
      </c>
      <c r="M533">
        <v>12</v>
      </c>
      <c r="N533" t="s">
        <v>15</v>
      </c>
      <c r="O533" s="8">
        <v>53.968200000000003</v>
      </c>
      <c r="P533" s="7">
        <v>-132.64500000000001</v>
      </c>
    </row>
    <row r="534" spans="1:16">
      <c r="A534">
        <v>1955</v>
      </c>
      <c r="B534">
        <v>0</v>
      </c>
      <c r="C534">
        <v>0</v>
      </c>
      <c r="D534">
        <v>0</v>
      </c>
      <c r="E534">
        <v>0</v>
      </c>
      <c r="F534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>
        <v>0</v>
      </c>
      <c r="M534">
        <v>12</v>
      </c>
      <c r="N534" t="s">
        <v>15</v>
      </c>
      <c r="O534" s="8">
        <v>53.968200000000003</v>
      </c>
      <c r="P534" s="7">
        <v>-132.64500000000001</v>
      </c>
    </row>
    <row r="535" spans="1:16">
      <c r="A535">
        <v>1956</v>
      </c>
      <c r="B535">
        <v>0</v>
      </c>
      <c r="C535">
        <v>0</v>
      </c>
      <c r="D535">
        <v>0</v>
      </c>
      <c r="E535">
        <v>0</v>
      </c>
      <c r="F535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>
        <v>0</v>
      </c>
      <c r="M535">
        <v>12</v>
      </c>
      <c r="N535" t="s">
        <v>15</v>
      </c>
      <c r="O535" s="8">
        <v>53.968200000000003</v>
      </c>
      <c r="P535" s="7">
        <v>-132.64500000000001</v>
      </c>
    </row>
    <row r="536" spans="1:16">
      <c r="A536">
        <v>1957</v>
      </c>
      <c r="B536">
        <v>0</v>
      </c>
      <c r="C536">
        <v>0</v>
      </c>
      <c r="D536">
        <v>0</v>
      </c>
      <c r="E536">
        <v>0</v>
      </c>
      <c r="F536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>
        <v>0</v>
      </c>
      <c r="M536">
        <v>12</v>
      </c>
      <c r="N536" t="s">
        <v>15</v>
      </c>
      <c r="O536" s="8">
        <v>53.968200000000003</v>
      </c>
      <c r="P536" s="7">
        <v>-132.64500000000001</v>
      </c>
    </row>
    <row r="537" spans="1:16">
      <c r="A537">
        <v>1958</v>
      </c>
      <c r="B537">
        <v>0</v>
      </c>
      <c r="C537">
        <v>0</v>
      </c>
      <c r="D537">
        <v>0</v>
      </c>
      <c r="E537">
        <v>0</v>
      </c>
      <c r="F537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>
        <v>0</v>
      </c>
      <c r="M537">
        <v>12</v>
      </c>
      <c r="N537" t="s">
        <v>15</v>
      </c>
      <c r="O537" s="8">
        <v>53.968200000000003</v>
      </c>
      <c r="P537" s="7">
        <v>-132.64500000000001</v>
      </c>
    </row>
    <row r="538" spans="1:16">
      <c r="A538">
        <v>1959</v>
      </c>
      <c r="B538">
        <v>0</v>
      </c>
      <c r="C538">
        <v>0</v>
      </c>
      <c r="D538">
        <v>0</v>
      </c>
      <c r="E538">
        <v>0</v>
      </c>
      <c r="F538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>
        <v>0</v>
      </c>
      <c r="M538">
        <v>12</v>
      </c>
      <c r="N538" t="s">
        <v>15</v>
      </c>
      <c r="O538" s="8">
        <v>53.968200000000003</v>
      </c>
      <c r="P538" s="7">
        <v>-132.64500000000001</v>
      </c>
    </row>
    <row r="539" spans="1:16">
      <c r="A539">
        <v>1960</v>
      </c>
      <c r="B539">
        <v>0</v>
      </c>
      <c r="C539">
        <v>0</v>
      </c>
      <c r="D539">
        <v>0</v>
      </c>
      <c r="E539">
        <v>0</v>
      </c>
      <c r="F539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>
        <v>0</v>
      </c>
      <c r="M539">
        <v>12</v>
      </c>
      <c r="N539" t="s">
        <v>15</v>
      </c>
      <c r="O539" s="8">
        <v>53.968200000000003</v>
      </c>
      <c r="P539" s="7">
        <v>-132.64500000000001</v>
      </c>
    </row>
    <row r="540" spans="1:16">
      <c r="A540">
        <v>1961</v>
      </c>
      <c r="B540">
        <v>0</v>
      </c>
      <c r="C540">
        <v>0</v>
      </c>
      <c r="D540">
        <v>0</v>
      </c>
      <c r="E540">
        <v>0</v>
      </c>
      <c r="F540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>
        <v>0</v>
      </c>
      <c r="M540">
        <v>12</v>
      </c>
      <c r="N540" t="s">
        <v>15</v>
      </c>
      <c r="O540" s="8">
        <v>53.968200000000003</v>
      </c>
      <c r="P540" s="7">
        <v>-132.64500000000001</v>
      </c>
    </row>
    <row r="541" spans="1:16">
      <c r="A541">
        <v>1962</v>
      </c>
      <c r="B541">
        <v>0</v>
      </c>
      <c r="C541">
        <v>0</v>
      </c>
      <c r="D541">
        <v>0</v>
      </c>
      <c r="E541">
        <v>0</v>
      </c>
      <c r="F541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>
        <v>0</v>
      </c>
      <c r="M541">
        <v>12</v>
      </c>
      <c r="N541" t="s">
        <v>15</v>
      </c>
      <c r="O541" s="8">
        <v>53.968200000000003</v>
      </c>
      <c r="P541" s="7">
        <v>-132.64500000000001</v>
      </c>
    </row>
    <row r="542" spans="1:16">
      <c r="A542">
        <v>1963</v>
      </c>
      <c r="B542">
        <v>0</v>
      </c>
      <c r="C542">
        <v>0</v>
      </c>
      <c r="D542">
        <v>0</v>
      </c>
      <c r="E542">
        <v>0</v>
      </c>
      <c r="F542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>
        <v>0</v>
      </c>
      <c r="M542">
        <v>12</v>
      </c>
      <c r="N542" t="s">
        <v>15</v>
      </c>
      <c r="O542" s="8">
        <v>53.968200000000003</v>
      </c>
      <c r="P542" s="7">
        <v>-132.64500000000001</v>
      </c>
    </row>
    <row r="543" spans="1:16">
      <c r="A543">
        <v>1964</v>
      </c>
      <c r="B543">
        <v>0</v>
      </c>
      <c r="C543">
        <v>0</v>
      </c>
      <c r="D543">
        <v>0</v>
      </c>
      <c r="E543">
        <v>0</v>
      </c>
      <c r="F543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>
        <v>0</v>
      </c>
      <c r="M543">
        <v>12</v>
      </c>
      <c r="N543" t="s">
        <v>15</v>
      </c>
      <c r="O543" s="8">
        <v>53.968200000000003</v>
      </c>
      <c r="P543" s="7">
        <v>-132.64500000000001</v>
      </c>
    </row>
    <row r="544" spans="1:16">
      <c r="A544">
        <v>1965</v>
      </c>
      <c r="B544">
        <v>0</v>
      </c>
      <c r="C544">
        <v>0</v>
      </c>
      <c r="D544">
        <v>0</v>
      </c>
      <c r="E544">
        <v>0</v>
      </c>
      <c r="F544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>
        <v>0</v>
      </c>
      <c r="M544">
        <v>12</v>
      </c>
      <c r="N544" t="s">
        <v>15</v>
      </c>
      <c r="O544" s="8">
        <v>53.968200000000003</v>
      </c>
      <c r="P544" s="7">
        <v>-132.64500000000001</v>
      </c>
    </row>
    <row r="545" spans="1:16">
      <c r="A545">
        <v>1966</v>
      </c>
      <c r="B545">
        <v>0</v>
      </c>
      <c r="C545">
        <v>0</v>
      </c>
      <c r="D545">
        <v>0</v>
      </c>
      <c r="E545">
        <v>0</v>
      </c>
      <c r="F545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>
        <v>0</v>
      </c>
      <c r="M545">
        <v>12</v>
      </c>
      <c r="N545" t="s">
        <v>15</v>
      </c>
      <c r="O545" s="8">
        <v>53.968200000000003</v>
      </c>
      <c r="P545" s="7">
        <v>-132.64500000000001</v>
      </c>
    </row>
    <row r="546" spans="1:16">
      <c r="A546">
        <v>1967</v>
      </c>
      <c r="B546">
        <v>0</v>
      </c>
      <c r="C546">
        <v>0</v>
      </c>
      <c r="D546">
        <v>0</v>
      </c>
      <c r="E546">
        <v>0</v>
      </c>
      <c r="F546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>
        <v>0</v>
      </c>
      <c r="M546">
        <v>12</v>
      </c>
      <c r="N546" t="s">
        <v>15</v>
      </c>
      <c r="O546" s="8">
        <v>53.968200000000003</v>
      </c>
      <c r="P546" s="7">
        <v>-132.64500000000001</v>
      </c>
    </row>
    <row r="547" spans="1:16">
      <c r="A547">
        <v>1968</v>
      </c>
      <c r="B547">
        <v>0</v>
      </c>
      <c r="C547">
        <v>0</v>
      </c>
      <c r="D547">
        <v>0</v>
      </c>
      <c r="E547">
        <v>0</v>
      </c>
      <c r="F547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>
        <v>0</v>
      </c>
      <c r="M547">
        <v>12</v>
      </c>
      <c r="N547" t="s">
        <v>15</v>
      </c>
      <c r="O547" s="8">
        <v>53.968200000000003</v>
      </c>
      <c r="P547" s="7">
        <v>-132.64500000000001</v>
      </c>
    </row>
    <row r="548" spans="1:16">
      <c r="A548">
        <v>1969</v>
      </c>
      <c r="B548">
        <v>0</v>
      </c>
      <c r="C548">
        <v>0</v>
      </c>
      <c r="D548">
        <v>0</v>
      </c>
      <c r="E548">
        <v>0</v>
      </c>
      <c r="F548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>
        <v>0</v>
      </c>
      <c r="M548">
        <v>12</v>
      </c>
      <c r="N548" t="s">
        <v>15</v>
      </c>
      <c r="O548" s="8">
        <v>53.968200000000003</v>
      </c>
      <c r="P548" s="7">
        <v>-132.64500000000001</v>
      </c>
    </row>
    <row r="549" spans="1:16">
      <c r="A549">
        <v>1970</v>
      </c>
      <c r="B549">
        <v>1</v>
      </c>
      <c r="C549">
        <v>69112</v>
      </c>
      <c r="D549">
        <v>1206</v>
      </c>
      <c r="E549">
        <v>2</v>
      </c>
      <c r="F549">
        <v>0.55000000000000004</v>
      </c>
      <c r="G549">
        <v>7.5</v>
      </c>
      <c r="H549">
        <v>72</v>
      </c>
      <c r="I549">
        <v>72</v>
      </c>
      <c r="J549">
        <v>72</v>
      </c>
      <c r="K549">
        <v>72</v>
      </c>
      <c r="L549">
        <v>0</v>
      </c>
      <c r="M549">
        <v>12</v>
      </c>
      <c r="N549" t="s">
        <v>15</v>
      </c>
      <c r="O549" s="8">
        <v>53.968200000000003</v>
      </c>
      <c r="P549" s="7">
        <v>-132.64500000000001</v>
      </c>
    </row>
    <row r="550" spans="1:16">
      <c r="A550">
        <v>1971</v>
      </c>
      <c r="B550">
        <v>0</v>
      </c>
      <c r="C550">
        <v>0</v>
      </c>
      <c r="D550">
        <v>0</v>
      </c>
      <c r="E550">
        <v>0</v>
      </c>
      <c r="F550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>
        <v>0</v>
      </c>
      <c r="M550">
        <v>12</v>
      </c>
      <c r="N550" t="s">
        <v>15</v>
      </c>
      <c r="O550" s="8">
        <v>53.968200000000003</v>
      </c>
      <c r="P550" s="7">
        <v>-132.64500000000001</v>
      </c>
    </row>
    <row r="551" spans="1:16">
      <c r="A551">
        <v>1972</v>
      </c>
      <c r="B551">
        <v>0</v>
      </c>
      <c r="C551">
        <v>0</v>
      </c>
      <c r="D551">
        <v>0</v>
      </c>
      <c r="E551">
        <v>0</v>
      </c>
      <c r="F551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>
        <v>0</v>
      </c>
      <c r="M551">
        <v>12</v>
      </c>
      <c r="N551" t="s">
        <v>15</v>
      </c>
      <c r="O551" s="8">
        <v>53.968200000000003</v>
      </c>
      <c r="P551" s="7">
        <v>-132.64500000000001</v>
      </c>
    </row>
    <row r="552" spans="1:16">
      <c r="A552">
        <v>1973</v>
      </c>
      <c r="B552">
        <v>0</v>
      </c>
      <c r="C552">
        <v>0</v>
      </c>
      <c r="D552">
        <v>0</v>
      </c>
      <c r="E552">
        <v>0</v>
      </c>
      <c r="F552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>
        <v>0</v>
      </c>
      <c r="M552">
        <v>12</v>
      </c>
      <c r="N552" t="s">
        <v>15</v>
      </c>
      <c r="O552" s="8">
        <v>53.968200000000003</v>
      </c>
      <c r="P552" s="7">
        <v>-132.64500000000001</v>
      </c>
    </row>
    <row r="553" spans="1:16">
      <c r="A553">
        <v>1974</v>
      </c>
      <c r="B553">
        <v>10</v>
      </c>
      <c r="C553">
        <v>155904</v>
      </c>
      <c r="D553">
        <v>5757</v>
      </c>
      <c r="E553">
        <v>44</v>
      </c>
      <c r="F553">
        <v>3.64</v>
      </c>
      <c r="G553">
        <v>5.8</v>
      </c>
      <c r="H553">
        <v>65.900000000000006</v>
      </c>
      <c r="I553">
        <v>71.5</v>
      </c>
      <c r="J553">
        <v>48</v>
      </c>
      <c r="K553">
        <v>80</v>
      </c>
      <c r="L553">
        <v>0</v>
      </c>
      <c r="M553">
        <v>12</v>
      </c>
      <c r="N553" t="s">
        <v>15</v>
      </c>
      <c r="O553" s="8">
        <v>53.968200000000003</v>
      </c>
      <c r="P553" s="7">
        <v>-132.64500000000001</v>
      </c>
    </row>
    <row r="554" spans="1:16">
      <c r="A554">
        <v>1975</v>
      </c>
      <c r="B554">
        <v>7</v>
      </c>
      <c r="C554">
        <v>133219</v>
      </c>
      <c r="D554">
        <v>3084</v>
      </c>
      <c r="E554">
        <v>33</v>
      </c>
      <c r="F554">
        <v>1.24</v>
      </c>
      <c r="G554">
        <v>5.9</v>
      </c>
      <c r="H554">
        <v>79.400000000000006</v>
      </c>
      <c r="I554">
        <v>81.599999999999994</v>
      </c>
      <c r="J554">
        <v>60</v>
      </c>
      <c r="K554">
        <v>94</v>
      </c>
      <c r="L554">
        <v>0</v>
      </c>
      <c r="M554">
        <v>12</v>
      </c>
      <c r="N554" t="s">
        <v>15</v>
      </c>
      <c r="O554" s="8">
        <v>53.968200000000003</v>
      </c>
      <c r="P554" s="7">
        <v>-132.64500000000001</v>
      </c>
    </row>
    <row r="555" spans="1:16">
      <c r="A555">
        <v>1976</v>
      </c>
      <c r="B555">
        <v>13</v>
      </c>
      <c r="C555">
        <v>453010</v>
      </c>
      <c r="D555">
        <v>7905</v>
      </c>
      <c r="E555">
        <v>40</v>
      </c>
      <c r="F555">
        <v>1.04</v>
      </c>
      <c r="G555">
        <v>5.4</v>
      </c>
      <c r="H555">
        <v>70.2</v>
      </c>
      <c r="I555">
        <v>72.5</v>
      </c>
      <c r="J555">
        <v>43</v>
      </c>
      <c r="K555">
        <v>106</v>
      </c>
      <c r="L555">
        <v>0</v>
      </c>
      <c r="M555">
        <v>12</v>
      </c>
      <c r="N555" t="s">
        <v>15</v>
      </c>
      <c r="O555" s="8">
        <v>53.968200000000003</v>
      </c>
      <c r="P555" s="7">
        <v>-132.64500000000001</v>
      </c>
    </row>
    <row r="556" spans="1:16">
      <c r="A556">
        <v>1977</v>
      </c>
      <c r="B556">
        <v>25</v>
      </c>
      <c r="C556">
        <v>590212</v>
      </c>
      <c r="D556">
        <v>12843</v>
      </c>
      <c r="E556">
        <v>73</v>
      </c>
      <c r="F556">
        <v>1.82</v>
      </c>
      <c r="G556">
        <v>7.5</v>
      </c>
      <c r="H556">
        <v>56.9</v>
      </c>
      <c r="I556">
        <v>64.900000000000006</v>
      </c>
      <c r="J556">
        <v>32</v>
      </c>
      <c r="K556">
        <v>83</v>
      </c>
      <c r="L556">
        <v>0</v>
      </c>
      <c r="M556">
        <v>12</v>
      </c>
      <c r="N556" t="s">
        <v>15</v>
      </c>
      <c r="O556" s="8">
        <v>53.968200000000003</v>
      </c>
      <c r="P556" s="7">
        <v>-132.64500000000001</v>
      </c>
    </row>
    <row r="557" spans="1:16">
      <c r="A557">
        <v>1978</v>
      </c>
      <c r="B557">
        <v>20</v>
      </c>
      <c r="C557">
        <v>686822</v>
      </c>
      <c r="D557">
        <v>11985</v>
      </c>
      <c r="E557">
        <v>174</v>
      </c>
      <c r="F557">
        <v>2.0299999999999998</v>
      </c>
      <c r="G557">
        <v>6.8</v>
      </c>
      <c r="H557">
        <v>51.8</v>
      </c>
      <c r="I557">
        <v>54.8</v>
      </c>
      <c r="J557">
        <v>32</v>
      </c>
      <c r="K557">
        <v>91</v>
      </c>
      <c r="L557">
        <v>0</v>
      </c>
      <c r="M557">
        <v>12</v>
      </c>
      <c r="N557" t="s">
        <v>15</v>
      </c>
      <c r="O557" s="8">
        <v>53.968200000000003</v>
      </c>
      <c r="P557" s="7">
        <v>-132.64500000000001</v>
      </c>
    </row>
    <row r="558" spans="1:16">
      <c r="A558">
        <v>1979</v>
      </c>
      <c r="B558">
        <v>14</v>
      </c>
      <c r="C558">
        <v>449092</v>
      </c>
      <c r="D558">
        <v>14428</v>
      </c>
      <c r="E558">
        <v>31</v>
      </c>
      <c r="F558">
        <v>0.33</v>
      </c>
      <c r="G558">
        <v>5.5</v>
      </c>
      <c r="H558">
        <v>63</v>
      </c>
      <c r="I558">
        <v>67.599999999999994</v>
      </c>
      <c r="J558">
        <v>35</v>
      </c>
      <c r="K558">
        <v>100</v>
      </c>
      <c r="L558">
        <v>0</v>
      </c>
      <c r="M558">
        <v>12</v>
      </c>
      <c r="N558" t="s">
        <v>15</v>
      </c>
      <c r="O558" s="8">
        <v>53.968200000000003</v>
      </c>
      <c r="P558" s="7">
        <v>-132.64500000000001</v>
      </c>
    </row>
    <row r="559" spans="1:16">
      <c r="A559">
        <v>1980</v>
      </c>
      <c r="B559">
        <v>12</v>
      </c>
      <c r="C559">
        <v>263294</v>
      </c>
      <c r="D559">
        <v>8642</v>
      </c>
      <c r="E559">
        <v>42</v>
      </c>
      <c r="F559">
        <v>0.89</v>
      </c>
      <c r="G559">
        <v>6.8</v>
      </c>
      <c r="H559">
        <v>52.3</v>
      </c>
      <c r="I559">
        <v>69.099999999999994</v>
      </c>
      <c r="J559">
        <v>33</v>
      </c>
      <c r="K559">
        <v>86</v>
      </c>
      <c r="L559">
        <v>0</v>
      </c>
      <c r="M559">
        <v>12</v>
      </c>
      <c r="N559" t="s">
        <v>15</v>
      </c>
      <c r="O559" s="8">
        <v>53.968200000000003</v>
      </c>
      <c r="P559" s="7">
        <v>-132.64500000000001</v>
      </c>
    </row>
    <row r="560" spans="1:16">
      <c r="A560">
        <v>1981</v>
      </c>
      <c r="B560">
        <v>8</v>
      </c>
      <c r="C560">
        <v>163329</v>
      </c>
      <c r="D560">
        <v>5963</v>
      </c>
      <c r="E560">
        <v>41</v>
      </c>
      <c r="F560">
        <v>0.89</v>
      </c>
      <c r="G560">
        <v>7.7</v>
      </c>
      <c r="H560">
        <v>68.900000000000006</v>
      </c>
      <c r="I560">
        <v>67.2</v>
      </c>
      <c r="J560">
        <v>62</v>
      </c>
      <c r="K560">
        <v>74</v>
      </c>
      <c r="L560">
        <v>0</v>
      </c>
      <c r="M560">
        <v>12</v>
      </c>
      <c r="N560" t="s">
        <v>15</v>
      </c>
      <c r="O560" s="8">
        <v>53.968200000000003</v>
      </c>
      <c r="P560" s="7">
        <v>-132.64500000000001</v>
      </c>
    </row>
    <row r="561" spans="1:16">
      <c r="A561">
        <v>1982</v>
      </c>
      <c r="B561">
        <v>17</v>
      </c>
      <c r="C561">
        <v>389803</v>
      </c>
      <c r="D561">
        <v>11471</v>
      </c>
      <c r="E561">
        <v>44</v>
      </c>
      <c r="F561">
        <v>0.56999999999999995</v>
      </c>
      <c r="G561">
        <v>4.8</v>
      </c>
      <c r="H561">
        <v>51.7</v>
      </c>
      <c r="I561">
        <v>55.4</v>
      </c>
      <c r="J561">
        <v>32</v>
      </c>
      <c r="K561">
        <v>84</v>
      </c>
      <c r="L561">
        <v>0</v>
      </c>
      <c r="M561">
        <v>12</v>
      </c>
      <c r="N561" t="s">
        <v>15</v>
      </c>
      <c r="O561" s="8">
        <v>53.968200000000003</v>
      </c>
      <c r="P561" s="7">
        <v>-132.64500000000001</v>
      </c>
    </row>
    <row r="562" spans="1:16">
      <c r="A562">
        <v>1983</v>
      </c>
      <c r="B562">
        <v>5</v>
      </c>
      <c r="C562">
        <v>33524</v>
      </c>
      <c r="D562">
        <v>585</v>
      </c>
      <c r="E562">
        <v>28</v>
      </c>
      <c r="F562">
        <v>0.9</v>
      </c>
      <c r="G562">
        <v>8.3000000000000007</v>
      </c>
      <c r="H562">
        <v>97</v>
      </c>
      <c r="I562">
        <v>97</v>
      </c>
      <c r="J562">
        <v>97</v>
      </c>
      <c r="K562">
        <v>97</v>
      </c>
      <c r="L562">
        <v>0</v>
      </c>
      <c r="M562">
        <v>12</v>
      </c>
      <c r="N562" t="s">
        <v>15</v>
      </c>
      <c r="O562" s="8">
        <v>53.968200000000003</v>
      </c>
      <c r="P562" s="7">
        <v>-132.64500000000001</v>
      </c>
    </row>
    <row r="563" spans="1:16">
      <c r="A563">
        <v>1984</v>
      </c>
      <c r="B563">
        <v>0</v>
      </c>
      <c r="C563">
        <v>0</v>
      </c>
      <c r="D563">
        <v>0</v>
      </c>
      <c r="E563">
        <v>0</v>
      </c>
      <c r="F563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>
        <v>0</v>
      </c>
      <c r="M563">
        <v>12</v>
      </c>
      <c r="N563" t="s">
        <v>15</v>
      </c>
      <c r="O563" s="8">
        <v>53.968200000000003</v>
      </c>
      <c r="P563" s="7">
        <v>-132.64500000000001</v>
      </c>
    </row>
    <row r="564" spans="1:16">
      <c r="A564">
        <v>1985</v>
      </c>
      <c r="B564">
        <v>0</v>
      </c>
      <c r="C564">
        <v>0</v>
      </c>
      <c r="D564">
        <v>0</v>
      </c>
      <c r="E564">
        <v>0</v>
      </c>
      <c r="F564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>
        <v>0</v>
      </c>
      <c r="M564">
        <v>12</v>
      </c>
      <c r="N564" t="s">
        <v>15</v>
      </c>
      <c r="O564" s="8">
        <v>53.968200000000003</v>
      </c>
      <c r="P564" s="7">
        <v>-132.64500000000001</v>
      </c>
    </row>
    <row r="565" spans="1:16">
      <c r="A565">
        <v>1986</v>
      </c>
      <c r="B565">
        <v>0</v>
      </c>
      <c r="C565">
        <v>0</v>
      </c>
      <c r="D565">
        <v>0</v>
      </c>
      <c r="E565">
        <v>0</v>
      </c>
      <c r="F565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>
        <v>0</v>
      </c>
      <c r="M565">
        <v>12</v>
      </c>
      <c r="N565" t="s">
        <v>15</v>
      </c>
      <c r="O565" s="8">
        <v>53.968200000000003</v>
      </c>
      <c r="P565" s="7">
        <v>-132.64500000000001</v>
      </c>
    </row>
    <row r="566" spans="1:16">
      <c r="A566">
        <v>1987</v>
      </c>
      <c r="B566">
        <v>0</v>
      </c>
      <c r="C566">
        <v>0</v>
      </c>
      <c r="D566">
        <v>0</v>
      </c>
      <c r="E566">
        <v>0</v>
      </c>
      <c r="F566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>
        <v>0</v>
      </c>
      <c r="M566">
        <v>12</v>
      </c>
      <c r="N566" t="s">
        <v>15</v>
      </c>
      <c r="O566" s="8">
        <v>53.968200000000003</v>
      </c>
      <c r="P566" s="7">
        <v>-132.64500000000001</v>
      </c>
    </row>
    <row r="567" spans="1:16">
      <c r="A567">
        <v>1988</v>
      </c>
      <c r="B567">
        <v>0</v>
      </c>
      <c r="C567">
        <v>0</v>
      </c>
      <c r="D567">
        <v>0</v>
      </c>
      <c r="E567">
        <v>0</v>
      </c>
      <c r="F567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>
        <v>0</v>
      </c>
      <c r="M567">
        <v>12</v>
      </c>
      <c r="N567" t="s">
        <v>15</v>
      </c>
      <c r="O567" s="8">
        <v>53.968200000000003</v>
      </c>
      <c r="P567" s="7">
        <v>-132.64500000000001</v>
      </c>
    </row>
    <row r="568" spans="1:16">
      <c r="A568">
        <v>1989</v>
      </c>
      <c r="B568">
        <v>0</v>
      </c>
      <c r="C568">
        <v>0</v>
      </c>
      <c r="D568">
        <v>0</v>
      </c>
      <c r="E568">
        <v>0</v>
      </c>
      <c r="F568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>
        <v>0</v>
      </c>
      <c r="M568">
        <v>12</v>
      </c>
      <c r="N568" t="s">
        <v>15</v>
      </c>
      <c r="O568" s="8">
        <v>53.968200000000003</v>
      </c>
      <c r="P568" s="7">
        <v>-132.64500000000001</v>
      </c>
    </row>
    <row r="569" spans="1:16">
      <c r="A569">
        <v>1990</v>
      </c>
      <c r="B569">
        <v>0</v>
      </c>
      <c r="C569">
        <v>0</v>
      </c>
      <c r="D569">
        <v>0</v>
      </c>
      <c r="E569">
        <v>0</v>
      </c>
      <c r="F569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>
        <v>0</v>
      </c>
      <c r="M569">
        <v>12</v>
      </c>
      <c r="N569" t="s">
        <v>15</v>
      </c>
      <c r="O569" s="8">
        <v>53.968200000000003</v>
      </c>
      <c r="P569" s="7">
        <v>-132.64500000000001</v>
      </c>
    </row>
    <row r="570" spans="1:16">
      <c r="A570">
        <v>1991</v>
      </c>
      <c r="B570">
        <v>0</v>
      </c>
      <c r="C570">
        <v>0</v>
      </c>
      <c r="D570">
        <v>0</v>
      </c>
      <c r="E570">
        <v>0</v>
      </c>
      <c r="F570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>
        <v>0</v>
      </c>
      <c r="M570">
        <v>12</v>
      </c>
      <c r="N570" t="s">
        <v>15</v>
      </c>
      <c r="O570" s="8">
        <v>53.968200000000003</v>
      </c>
      <c r="P570" s="7">
        <v>-132.64500000000001</v>
      </c>
    </row>
    <row r="571" spans="1:16">
      <c r="A571">
        <v>1992</v>
      </c>
      <c r="B571">
        <v>0</v>
      </c>
      <c r="C571">
        <v>0</v>
      </c>
      <c r="D571">
        <v>0</v>
      </c>
      <c r="E571">
        <v>0</v>
      </c>
      <c r="F571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>
        <v>0</v>
      </c>
      <c r="M571">
        <v>12</v>
      </c>
      <c r="N571" t="s">
        <v>15</v>
      </c>
      <c r="O571" s="8">
        <v>53.968200000000003</v>
      </c>
      <c r="P571" s="7">
        <v>-132.64500000000001</v>
      </c>
    </row>
    <row r="572" spans="1:16">
      <c r="A572">
        <v>1993</v>
      </c>
      <c r="B572">
        <v>0</v>
      </c>
      <c r="C572">
        <v>0</v>
      </c>
      <c r="D572">
        <v>0</v>
      </c>
      <c r="E572">
        <v>0</v>
      </c>
      <c r="F572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>
        <v>0</v>
      </c>
      <c r="M572">
        <v>12</v>
      </c>
      <c r="N572" t="s">
        <v>15</v>
      </c>
      <c r="O572" s="8">
        <v>53.968200000000003</v>
      </c>
      <c r="P572" s="7">
        <v>-132.64500000000001</v>
      </c>
    </row>
    <row r="573" spans="1:16">
      <c r="A573">
        <v>1994</v>
      </c>
      <c r="B573">
        <v>0</v>
      </c>
      <c r="C573">
        <v>0</v>
      </c>
      <c r="D573">
        <v>0</v>
      </c>
      <c r="E573">
        <v>0</v>
      </c>
      <c r="F573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>
        <v>0</v>
      </c>
      <c r="M573">
        <v>12</v>
      </c>
      <c r="N573" t="s">
        <v>15</v>
      </c>
      <c r="O573" s="8">
        <v>53.968200000000003</v>
      </c>
      <c r="P573" s="7">
        <v>-132.64500000000001</v>
      </c>
    </row>
    <row r="574" spans="1:16">
      <c r="A574">
        <v>1995</v>
      </c>
      <c r="B574">
        <v>0</v>
      </c>
      <c r="C574">
        <v>0</v>
      </c>
      <c r="D574">
        <v>0</v>
      </c>
      <c r="E574">
        <v>0</v>
      </c>
      <c r="F574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>
        <v>0</v>
      </c>
      <c r="M574">
        <v>12</v>
      </c>
      <c r="N574" t="s">
        <v>15</v>
      </c>
      <c r="O574" s="8">
        <v>53.968200000000003</v>
      </c>
      <c r="P574" s="7">
        <v>-132.64500000000001</v>
      </c>
    </row>
    <row r="575" spans="1:16">
      <c r="A575">
        <v>1996</v>
      </c>
      <c r="B575">
        <v>0</v>
      </c>
      <c r="C575">
        <v>0</v>
      </c>
      <c r="D575">
        <v>0</v>
      </c>
      <c r="E575">
        <v>0</v>
      </c>
      <c r="F575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>
        <v>0</v>
      </c>
      <c r="M575">
        <v>12</v>
      </c>
      <c r="N575" t="s">
        <v>15</v>
      </c>
      <c r="O575" s="8">
        <v>53.968200000000003</v>
      </c>
      <c r="P575" s="7">
        <v>-132.64500000000001</v>
      </c>
    </row>
    <row r="576" spans="1:16">
      <c r="A576">
        <v>1997</v>
      </c>
      <c r="B576">
        <v>0</v>
      </c>
      <c r="C576">
        <v>0</v>
      </c>
      <c r="D576">
        <v>0</v>
      </c>
      <c r="E576">
        <v>0</v>
      </c>
      <c r="F576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>
        <v>0</v>
      </c>
      <c r="M576">
        <v>12</v>
      </c>
      <c r="N576" t="s">
        <v>15</v>
      </c>
      <c r="O576" s="8">
        <v>53.968200000000003</v>
      </c>
      <c r="P576" s="7">
        <v>-132.64500000000001</v>
      </c>
    </row>
    <row r="577" spans="1:16">
      <c r="A577">
        <v>1998</v>
      </c>
      <c r="B577">
        <v>0</v>
      </c>
      <c r="C577">
        <v>0</v>
      </c>
      <c r="D577">
        <v>0</v>
      </c>
      <c r="E577">
        <v>0</v>
      </c>
      <c r="F577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>
        <v>0</v>
      </c>
      <c r="M577">
        <v>12</v>
      </c>
      <c r="N577" t="s">
        <v>15</v>
      </c>
      <c r="O577" s="8">
        <v>53.968200000000003</v>
      </c>
      <c r="P577" s="7">
        <v>-132.64500000000001</v>
      </c>
    </row>
    <row r="578" spans="1:16">
      <c r="A578">
        <v>1999</v>
      </c>
      <c r="B578">
        <v>0</v>
      </c>
      <c r="C578">
        <v>0</v>
      </c>
      <c r="D578">
        <v>0</v>
      </c>
      <c r="E578">
        <v>0</v>
      </c>
      <c r="F578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>
        <v>0</v>
      </c>
      <c r="M578">
        <v>12</v>
      </c>
      <c r="N578" t="s">
        <v>15</v>
      </c>
      <c r="O578" s="8">
        <v>53.968200000000003</v>
      </c>
      <c r="P578" s="7">
        <v>-132.64500000000001</v>
      </c>
    </row>
    <row r="579" spans="1:16">
      <c r="A579">
        <v>2000</v>
      </c>
      <c r="B579">
        <v>0</v>
      </c>
      <c r="C579">
        <v>0</v>
      </c>
      <c r="D579">
        <v>0</v>
      </c>
      <c r="E579">
        <v>0</v>
      </c>
      <c r="F579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>
        <v>0</v>
      </c>
      <c r="M579">
        <v>12</v>
      </c>
      <c r="N579" t="s">
        <v>15</v>
      </c>
      <c r="O579" s="8">
        <v>53.968200000000003</v>
      </c>
      <c r="P579" s="7">
        <v>-132.64500000000001</v>
      </c>
    </row>
    <row r="580" spans="1:16">
      <c r="A580">
        <v>2001</v>
      </c>
      <c r="B580">
        <v>0</v>
      </c>
      <c r="C580">
        <v>0</v>
      </c>
      <c r="D580">
        <v>0</v>
      </c>
      <c r="E580">
        <v>0</v>
      </c>
      <c r="F580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>
        <v>0</v>
      </c>
      <c r="M580">
        <v>12</v>
      </c>
      <c r="N580" t="s">
        <v>15</v>
      </c>
      <c r="O580" s="8">
        <v>53.968200000000003</v>
      </c>
      <c r="P580" s="7">
        <v>-132.64500000000001</v>
      </c>
    </row>
    <row r="581" spans="1:16">
      <c r="A581">
        <v>2002</v>
      </c>
      <c r="B581">
        <v>0</v>
      </c>
      <c r="C581">
        <v>0</v>
      </c>
      <c r="D581">
        <v>0</v>
      </c>
      <c r="E581">
        <v>0</v>
      </c>
      <c r="F581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>
        <v>0</v>
      </c>
      <c r="M581">
        <v>12</v>
      </c>
      <c r="N581" t="s">
        <v>15</v>
      </c>
      <c r="O581" s="8">
        <v>53.968200000000003</v>
      </c>
      <c r="P581" s="7">
        <v>-132.64500000000001</v>
      </c>
    </row>
    <row r="582" spans="1:16">
      <c r="A582">
        <v>2003</v>
      </c>
      <c r="B582">
        <v>0</v>
      </c>
      <c r="C582">
        <v>0</v>
      </c>
      <c r="D582">
        <v>0</v>
      </c>
      <c r="E582">
        <v>0</v>
      </c>
      <c r="F582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>
        <v>0</v>
      </c>
      <c r="M582">
        <v>12</v>
      </c>
      <c r="N582" t="s">
        <v>15</v>
      </c>
      <c r="O582" s="8">
        <v>53.968200000000003</v>
      </c>
      <c r="P582" s="7">
        <v>-132.64500000000001</v>
      </c>
    </row>
    <row r="583" spans="1:16">
      <c r="A583">
        <v>2004</v>
      </c>
      <c r="B583">
        <v>0</v>
      </c>
      <c r="C583">
        <v>0</v>
      </c>
      <c r="D583">
        <v>0</v>
      </c>
      <c r="E583">
        <v>0</v>
      </c>
      <c r="F583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>
        <v>0</v>
      </c>
      <c r="M583">
        <v>12</v>
      </c>
      <c r="N583" t="s">
        <v>15</v>
      </c>
      <c r="O583" s="8">
        <v>53.968200000000003</v>
      </c>
      <c r="P583" s="7">
        <v>-132.64500000000001</v>
      </c>
    </row>
    <row r="584" spans="1:16">
      <c r="A584">
        <v>2005</v>
      </c>
      <c r="B584">
        <v>5</v>
      </c>
      <c r="C584">
        <v>229227</v>
      </c>
      <c r="D584">
        <v>4000</v>
      </c>
      <c r="E584">
        <v>16</v>
      </c>
      <c r="F584">
        <v>1.5</v>
      </c>
      <c r="G584">
        <v>7.2</v>
      </c>
      <c r="H584">
        <v>94</v>
      </c>
      <c r="I584">
        <v>94</v>
      </c>
      <c r="J584">
        <v>94</v>
      </c>
      <c r="K584">
        <v>94</v>
      </c>
      <c r="L584">
        <v>0</v>
      </c>
      <c r="M584">
        <v>12</v>
      </c>
      <c r="N584" t="s">
        <v>15</v>
      </c>
      <c r="O584" s="8">
        <v>53.968200000000003</v>
      </c>
      <c r="P584" s="7">
        <v>-132.64500000000001</v>
      </c>
    </row>
    <row r="585" spans="1:16">
      <c r="A585">
        <v>2006</v>
      </c>
      <c r="B585">
        <v>0</v>
      </c>
      <c r="C585">
        <v>0</v>
      </c>
      <c r="D585">
        <v>0</v>
      </c>
      <c r="E585">
        <v>0</v>
      </c>
      <c r="F585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>
        <v>0</v>
      </c>
      <c r="M585">
        <v>12</v>
      </c>
      <c r="N585" t="s">
        <v>15</v>
      </c>
      <c r="O585" s="8">
        <v>53.968200000000003</v>
      </c>
      <c r="P585" s="7">
        <v>-132.64500000000001</v>
      </c>
    </row>
    <row r="586" spans="1:16">
      <c r="A586">
        <v>2007</v>
      </c>
      <c r="B586">
        <v>0</v>
      </c>
      <c r="C586">
        <v>0</v>
      </c>
      <c r="D586">
        <v>0</v>
      </c>
      <c r="E586">
        <v>0</v>
      </c>
      <c r="F586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>
        <v>0</v>
      </c>
      <c r="M586">
        <v>12</v>
      </c>
      <c r="N586" t="s">
        <v>15</v>
      </c>
      <c r="O586" s="8">
        <v>53.968200000000003</v>
      </c>
      <c r="P586" s="7">
        <v>-132.64500000000001</v>
      </c>
    </row>
    <row r="587" spans="1:16">
      <c r="A587">
        <v>2008</v>
      </c>
      <c r="B587">
        <v>0</v>
      </c>
      <c r="C587">
        <v>0</v>
      </c>
      <c r="D587">
        <v>0</v>
      </c>
      <c r="E587">
        <v>0</v>
      </c>
      <c r="F587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>
        <v>0</v>
      </c>
      <c r="M587">
        <v>12</v>
      </c>
      <c r="N587" t="s">
        <v>15</v>
      </c>
      <c r="O587" s="8">
        <v>53.968200000000003</v>
      </c>
      <c r="P587" s="7">
        <v>-132.64500000000001</v>
      </c>
    </row>
    <row r="588" spans="1:16">
      <c r="A588">
        <v>2009</v>
      </c>
      <c r="B588">
        <v>0</v>
      </c>
      <c r="C588">
        <v>0</v>
      </c>
      <c r="D588">
        <v>0</v>
      </c>
      <c r="E588">
        <v>0</v>
      </c>
      <c r="F588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>
        <v>0</v>
      </c>
      <c r="M588">
        <v>12</v>
      </c>
      <c r="N588" t="s">
        <v>15</v>
      </c>
      <c r="O588" s="8">
        <v>53.968200000000003</v>
      </c>
      <c r="P588" s="7">
        <v>-132.64500000000001</v>
      </c>
    </row>
    <row r="589" spans="1:16">
      <c r="A589">
        <v>2010</v>
      </c>
      <c r="B589">
        <v>0</v>
      </c>
      <c r="C589">
        <v>0</v>
      </c>
      <c r="D589">
        <v>0</v>
      </c>
      <c r="E589">
        <v>0</v>
      </c>
      <c r="F589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>
        <v>0</v>
      </c>
      <c r="M589">
        <v>12</v>
      </c>
      <c r="N589" t="s">
        <v>15</v>
      </c>
      <c r="O589" s="8">
        <v>53.968200000000003</v>
      </c>
      <c r="P589" s="7">
        <v>-132.64500000000001</v>
      </c>
    </row>
    <row r="590" spans="1:16">
      <c r="A590">
        <v>2011</v>
      </c>
      <c r="B590">
        <v>0</v>
      </c>
      <c r="C590">
        <v>0</v>
      </c>
      <c r="D590">
        <v>0</v>
      </c>
      <c r="E590">
        <v>0</v>
      </c>
      <c r="F590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>
        <v>0</v>
      </c>
      <c r="M590">
        <v>12</v>
      </c>
      <c r="N590" t="s">
        <v>15</v>
      </c>
      <c r="O590" s="8">
        <v>53.968200000000003</v>
      </c>
      <c r="P590" s="7">
        <v>-132.64500000000001</v>
      </c>
    </row>
    <row r="591" spans="1:16">
      <c r="A591">
        <v>2012</v>
      </c>
      <c r="B591">
        <v>0</v>
      </c>
      <c r="C591">
        <v>0</v>
      </c>
      <c r="D591">
        <v>0</v>
      </c>
      <c r="E591">
        <v>0</v>
      </c>
      <c r="F591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>
        <v>0</v>
      </c>
      <c r="M591">
        <v>12</v>
      </c>
      <c r="N591" t="s">
        <v>15</v>
      </c>
      <c r="O591" s="8">
        <v>53.968200000000003</v>
      </c>
      <c r="P591" s="7">
        <v>-132.64500000000001</v>
      </c>
    </row>
    <row r="592" spans="1:16">
      <c r="A592">
        <v>2013</v>
      </c>
      <c r="B592">
        <v>0</v>
      </c>
      <c r="C592">
        <v>0</v>
      </c>
      <c r="D592">
        <v>0</v>
      </c>
      <c r="E592">
        <v>0</v>
      </c>
      <c r="F592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>
        <v>0</v>
      </c>
      <c r="M592">
        <v>12</v>
      </c>
      <c r="N592" t="s">
        <v>15</v>
      </c>
      <c r="O592" s="8">
        <v>53.968200000000003</v>
      </c>
      <c r="P592" s="7">
        <v>-132.64500000000001</v>
      </c>
    </row>
    <row r="593" spans="1:16">
      <c r="A593">
        <v>1940</v>
      </c>
      <c r="B593">
        <v>1</v>
      </c>
      <c r="C593">
        <v>407260</v>
      </c>
      <c r="D593">
        <v>19304</v>
      </c>
      <c r="E593">
        <v>18</v>
      </c>
      <c r="F593">
        <v>5.3</v>
      </c>
      <c r="G593" t="s">
        <v>0</v>
      </c>
      <c r="H593">
        <v>95</v>
      </c>
      <c r="I593">
        <v>95</v>
      </c>
      <c r="J593">
        <v>95</v>
      </c>
      <c r="K593">
        <v>95</v>
      </c>
      <c r="L593">
        <v>0</v>
      </c>
      <c r="M593">
        <v>21</v>
      </c>
      <c r="N593" t="s">
        <v>28</v>
      </c>
      <c r="O593" s="8">
        <v>52.5</v>
      </c>
      <c r="P593" s="7">
        <f>-131.417</f>
        <v>-131.417</v>
      </c>
    </row>
    <row r="594" spans="1:16">
      <c r="A594">
        <v>1941</v>
      </c>
      <c r="B594">
        <v>1</v>
      </c>
      <c r="C594">
        <v>407260</v>
      </c>
      <c r="D594">
        <v>19304</v>
      </c>
      <c r="E594">
        <v>18</v>
      </c>
      <c r="F594">
        <v>2.74</v>
      </c>
      <c r="G594" t="s">
        <v>0</v>
      </c>
      <c r="H594">
        <v>94</v>
      </c>
      <c r="I594">
        <v>94</v>
      </c>
      <c r="J594">
        <v>94</v>
      </c>
      <c r="K594">
        <v>94</v>
      </c>
      <c r="L594">
        <v>0</v>
      </c>
      <c r="M594">
        <v>21</v>
      </c>
      <c r="N594" t="s">
        <v>28</v>
      </c>
      <c r="O594" s="8">
        <v>53.5</v>
      </c>
      <c r="P594" s="7">
        <f t="shared" ref="P594:P657" si="0">-131.417</f>
        <v>-131.417</v>
      </c>
    </row>
    <row r="595" spans="1:16">
      <c r="A595">
        <v>1942</v>
      </c>
      <c r="B595">
        <v>3</v>
      </c>
      <c r="C595">
        <v>217905</v>
      </c>
      <c r="D595">
        <v>8226</v>
      </c>
      <c r="E595">
        <v>25</v>
      </c>
      <c r="F595">
        <v>2.3199999999999998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>
        <v>0</v>
      </c>
      <c r="M595">
        <v>21</v>
      </c>
      <c r="N595" t="s">
        <v>28</v>
      </c>
      <c r="O595" s="8">
        <v>54.5</v>
      </c>
      <c r="P595" s="7">
        <f t="shared" si="0"/>
        <v>-131.417</v>
      </c>
    </row>
    <row r="596" spans="1:16">
      <c r="A596">
        <v>1943</v>
      </c>
      <c r="B596">
        <v>3</v>
      </c>
      <c r="C596">
        <v>168953</v>
      </c>
      <c r="D596">
        <v>12485</v>
      </c>
      <c r="E596">
        <v>21</v>
      </c>
      <c r="F596">
        <v>5.29</v>
      </c>
      <c r="G596" t="s">
        <v>0</v>
      </c>
      <c r="H596">
        <v>103.3</v>
      </c>
      <c r="I596">
        <v>103.8</v>
      </c>
      <c r="J596">
        <v>99</v>
      </c>
      <c r="K596">
        <v>110</v>
      </c>
      <c r="L596">
        <v>0</v>
      </c>
      <c r="M596">
        <v>21</v>
      </c>
      <c r="N596" t="s">
        <v>28</v>
      </c>
      <c r="O596" s="8">
        <v>55.5</v>
      </c>
      <c r="P596" s="7">
        <f t="shared" si="0"/>
        <v>-131.417</v>
      </c>
    </row>
    <row r="597" spans="1:16">
      <c r="A597">
        <v>1944</v>
      </c>
      <c r="B597">
        <v>0</v>
      </c>
      <c r="C597">
        <v>0</v>
      </c>
      <c r="D597">
        <v>0</v>
      </c>
      <c r="E597">
        <v>0</v>
      </c>
      <c r="F597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>
        <v>0</v>
      </c>
      <c r="M597">
        <v>21</v>
      </c>
      <c r="N597" t="s">
        <v>28</v>
      </c>
      <c r="O597" s="8">
        <v>56.5</v>
      </c>
      <c r="P597" s="7">
        <f t="shared" si="0"/>
        <v>-131.417</v>
      </c>
    </row>
    <row r="598" spans="1:16">
      <c r="A598">
        <v>1945</v>
      </c>
      <c r="B598">
        <v>4</v>
      </c>
      <c r="C598">
        <v>132211</v>
      </c>
      <c r="D598">
        <v>4991</v>
      </c>
      <c r="E598">
        <v>144</v>
      </c>
      <c r="F598">
        <v>5.93</v>
      </c>
      <c r="G598" t="s">
        <v>0</v>
      </c>
      <c r="H598">
        <v>105.3</v>
      </c>
      <c r="I598">
        <v>106.2</v>
      </c>
      <c r="J598">
        <v>92</v>
      </c>
      <c r="K598">
        <v>118</v>
      </c>
      <c r="L598">
        <v>0</v>
      </c>
      <c r="M598">
        <v>21</v>
      </c>
      <c r="N598" t="s">
        <v>28</v>
      </c>
      <c r="O598" s="8">
        <v>57.5</v>
      </c>
      <c r="P598" s="7">
        <f t="shared" si="0"/>
        <v>-131.417</v>
      </c>
    </row>
    <row r="599" spans="1:16">
      <c r="A599">
        <v>1946</v>
      </c>
      <c r="B599">
        <v>3</v>
      </c>
      <c r="C599">
        <v>49722</v>
      </c>
      <c r="D599">
        <v>2240</v>
      </c>
      <c r="E599">
        <v>18</v>
      </c>
      <c r="F599">
        <v>3.72</v>
      </c>
      <c r="G599">
        <v>7.3</v>
      </c>
      <c r="H599">
        <v>96.3</v>
      </c>
      <c r="I599">
        <v>98.8</v>
      </c>
      <c r="J599">
        <v>87</v>
      </c>
      <c r="K599">
        <v>105</v>
      </c>
      <c r="L599">
        <v>0</v>
      </c>
      <c r="M599">
        <v>21</v>
      </c>
      <c r="N599" t="s">
        <v>28</v>
      </c>
      <c r="O599" s="8">
        <v>58.5</v>
      </c>
      <c r="P599" s="7">
        <f t="shared" si="0"/>
        <v>-131.417</v>
      </c>
    </row>
    <row r="600" spans="1:16">
      <c r="A600">
        <v>1947</v>
      </c>
      <c r="B600">
        <v>2</v>
      </c>
      <c r="C600">
        <v>91999</v>
      </c>
      <c r="D600">
        <v>3473</v>
      </c>
      <c r="E600">
        <v>82</v>
      </c>
      <c r="F600">
        <v>3.32</v>
      </c>
      <c r="G600">
        <v>7.8</v>
      </c>
      <c r="H600">
        <v>103</v>
      </c>
      <c r="I600">
        <v>103</v>
      </c>
      <c r="J600">
        <v>103</v>
      </c>
      <c r="K600">
        <v>103</v>
      </c>
      <c r="L600">
        <v>0</v>
      </c>
      <c r="M600">
        <v>21</v>
      </c>
      <c r="N600" t="s">
        <v>28</v>
      </c>
      <c r="O600" s="8">
        <v>59.5</v>
      </c>
      <c r="P600" s="7">
        <f t="shared" si="0"/>
        <v>-131.417</v>
      </c>
    </row>
    <row r="601" spans="1:16">
      <c r="A601">
        <v>1948</v>
      </c>
      <c r="B601">
        <v>3</v>
      </c>
      <c r="C601">
        <v>244217</v>
      </c>
      <c r="D601">
        <v>10628</v>
      </c>
      <c r="E601">
        <v>23</v>
      </c>
      <c r="F601">
        <v>6.14</v>
      </c>
      <c r="G601">
        <v>7.1</v>
      </c>
      <c r="H601">
        <v>100</v>
      </c>
      <c r="I601">
        <v>100.2</v>
      </c>
      <c r="J601">
        <v>99</v>
      </c>
      <c r="K601">
        <v>101</v>
      </c>
      <c r="L601">
        <v>0</v>
      </c>
      <c r="M601">
        <v>21</v>
      </c>
      <c r="N601" t="s">
        <v>28</v>
      </c>
      <c r="O601" s="8">
        <v>60.5</v>
      </c>
      <c r="P601" s="7">
        <f t="shared" si="0"/>
        <v>-131.417</v>
      </c>
    </row>
    <row r="602" spans="1:16">
      <c r="A602">
        <v>1949</v>
      </c>
      <c r="B602">
        <v>3</v>
      </c>
      <c r="C602">
        <v>33756</v>
      </c>
      <c r="D602">
        <v>1600</v>
      </c>
      <c r="E602">
        <v>10</v>
      </c>
      <c r="F602">
        <v>3.97</v>
      </c>
      <c r="G602">
        <v>6.2</v>
      </c>
      <c r="H602">
        <v>102</v>
      </c>
      <c r="I602">
        <v>102</v>
      </c>
      <c r="J602">
        <v>102</v>
      </c>
      <c r="K602">
        <v>102</v>
      </c>
      <c r="L602">
        <v>0</v>
      </c>
      <c r="M602">
        <v>21</v>
      </c>
      <c r="N602" t="s">
        <v>28</v>
      </c>
      <c r="O602" s="8">
        <v>61.5</v>
      </c>
      <c r="P602" s="7">
        <f t="shared" si="0"/>
        <v>-131.417</v>
      </c>
    </row>
    <row r="603" spans="1:16">
      <c r="A603">
        <v>1950</v>
      </c>
      <c r="B603">
        <v>2</v>
      </c>
      <c r="C603">
        <v>26309</v>
      </c>
      <c r="D603">
        <v>1142</v>
      </c>
      <c r="E603">
        <v>10</v>
      </c>
      <c r="F603">
        <v>1.34</v>
      </c>
      <c r="G603">
        <v>6.4</v>
      </c>
      <c r="H603">
        <v>95.5</v>
      </c>
      <c r="I603">
        <v>95.4</v>
      </c>
      <c r="J603">
        <v>95</v>
      </c>
      <c r="K603">
        <v>96</v>
      </c>
      <c r="L603">
        <v>0</v>
      </c>
      <c r="M603">
        <v>21</v>
      </c>
      <c r="N603" t="s">
        <v>28</v>
      </c>
      <c r="O603" s="8">
        <v>62.5</v>
      </c>
      <c r="P603" s="7">
        <f t="shared" si="0"/>
        <v>-131.417</v>
      </c>
    </row>
    <row r="604" spans="1:16">
      <c r="A604">
        <v>1951</v>
      </c>
      <c r="B604">
        <v>1</v>
      </c>
      <c r="C604">
        <v>14473</v>
      </c>
      <c r="D604">
        <v>686</v>
      </c>
      <c r="E604">
        <v>14</v>
      </c>
      <c r="F604">
        <v>2.15</v>
      </c>
      <c r="G604">
        <v>6.3</v>
      </c>
      <c r="H604">
        <v>94</v>
      </c>
      <c r="I604">
        <v>94</v>
      </c>
      <c r="J604">
        <v>94</v>
      </c>
      <c r="K604">
        <v>94</v>
      </c>
      <c r="L604">
        <v>0</v>
      </c>
      <c r="M604">
        <v>21</v>
      </c>
      <c r="N604" t="s">
        <v>28</v>
      </c>
      <c r="O604" s="8">
        <v>63.5</v>
      </c>
      <c r="P604" s="7">
        <f t="shared" si="0"/>
        <v>-131.417</v>
      </c>
    </row>
    <row r="605" spans="1:16">
      <c r="A605">
        <v>1952</v>
      </c>
      <c r="B605">
        <v>3</v>
      </c>
      <c r="C605">
        <v>162361</v>
      </c>
      <c r="D605">
        <v>6581</v>
      </c>
      <c r="E605">
        <v>9</v>
      </c>
      <c r="F605">
        <v>1.88</v>
      </c>
      <c r="G605">
        <v>6.8</v>
      </c>
      <c r="H605">
        <v>107.3</v>
      </c>
      <c r="I605">
        <v>112.8</v>
      </c>
      <c r="J605">
        <v>101</v>
      </c>
      <c r="K605">
        <v>118</v>
      </c>
      <c r="L605">
        <v>0</v>
      </c>
      <c r="M605">
        <v>21</v>
      </c>
      <c r="N605" t="s">
        <v>28</v>
      </c>
      <c r="O605" s="8">
        <v>64.5</v>
      </c>
      <c r="P605" s="7">
        <f t="shared" si="0"/>
        <v>-131.417</v>
      </c>
    </row>
    <row r="606" spans="1:16">
      <c r="A606">
        <v>1953</v>
      </c>
      <c r="B606">
        <v>2</v>
      </c>
      <c r="C606">
        <v>22227</v>
      </c>
      <c r="D606">
        <v>960</v>
      </c>
      <c r="E606">
        <v>8</v>
      </c>
      <c r="F606">
        <v>2.15</v>
      </c>
      <c r="G606">
        <v>7.2</v>
      </c>
      <c r="H606">
        <v>91</v>
      </c>
      <c r="I606">
        <v>91</v>
      </c>
      <c r="J606">
        <v>91</v>
      </c>
      <c r="K606">
        <v>91</v>
      </c>
      <c r="L606">
        <v>0</v>
      </c>
      <c r="M606">
        <v>21</v>
      </c>
      <c r="N606" t="s">
        <v>28</v>
      </c>
      <c r="O606" s="8">
        <v>65.5</v>
      </c>
      <c r="P606" s="7">
        <f t="shared" si="0"/>
        <v>-131.417</v>
      </c>
    </row>
    <row r="607" spans="1:16">
      <c r="A607">
        <v>1954</v>
      </c>
      <c r="B607">
        <v>3</v>
      </c>
      <c r="C607">
        <v>290324</v>
      </c>
      <c r="D607">
        <v>11425</v>
      </c>
      <c r="E607">
        <v>9</v>
      </c>
      <c r="F607">
        <v>2.96</v>
      </c>
      <c r="G607" t="s">
        <v>0</v>
      </c>
      <c r="H607">
        <v>92.3</v>
      </c>
      <c r="I607">
        <v>91.2</v>
      </c>
      <c r="J607">
        <v>90</v>
      </c>
      <c r="K607">
        <v>94</v>
      </c>
      <c r="L607">
        <v>0</v>
      </c>
      <c r="M607">
        <v>21</v>
      </c>
      <c r="N607" t="s">
        <v>28</v>
      </c>
      <c r="O607" s="8">
        <v>66.5</v>
      </c>
      <c r="P607" s="7">
        <f t="shared" si="0"/>
        <v>-131.417</v>
      </c>
    </row>
    <row r="608" spans="1:16">
      <c r="A608">
        <v>1955</v>
      </c>
      <c r="B608">
        <v>8</v>
      </c>
      <c r="C608">
        <v>429053</v>
      </c>
      <c r="D608">
        <v>17183</v>
      </c>
      <c r="E608">
        <v>7</v>
      </c>
      <c r="F608">
        <v>3.25</v>
      </c>
      <c r="G608">
        <v>6.5</v>
      </c>
      <c r="H608">
        <v>94.5</v>
      </c>
      <c r="I608">
        <v>93.3</v>
      </c>
      <c r="J608">
        <v>91</v>
      </c>
      <c r="K608">
        <v>105</v>
      </c>
      <c r="L608">
        <v>0</v>
      </c>
      <c r="M608">
        <v>21</v>
      </c>
      <c r="N608" t="s">
        <v>28</v>
      </c>
      <c r="O608" s="8">
        <v>67.5</v>
      </c>
      <c r="P608" s="7">
        <f t="shared" si="0"/>
        <v>-131.417</v>
      </c>
    </row>
    <row r="609" spans="1:16">
      <c r="A609">
        <v>1956</v>
      </c>
      <c r="B609">
        <v>1</v>
      </c>
      <c r="C609">
        <v>21298</v>
      </c>
      <c r="D609">
        <v>804</v>
      </c>
      <c r="E609">
        <v>3</v>
      </c>
      <c r="F609">
        <v>0.55000000000000004</v>
      </c>
      <c r="G609" t="s">
        <v>0</v>
      </c>
      <c r="H609">
        <v>95</v>
      </c>
      <c r="I609">
        <v>95</v>
      </c>
      <c r="J609">
        <v>95</v>
      </c>
      <c r="K609">
        <v>95</v>
      </c>
      <c r="L609">
        <v>0</v>
      </c>
      <c r="M609">
        <v>21</v>
      </c>
      <c r="N609" t="s">
        <v>28</v>
      </c>
      <c r="O609" s="8">
        <v>68.5</v>
      </c>
      <c r="P609" s="7">
        <f t="shared" si="0"/>
        <v>-131.417</v>
      </c>
    </row>
    <row r="610" spans="1:16">
      <c r="A610">
        <v>1957</v>
      </c>
      <c r="B610">
        <v>2</v>
      </c>
      <c r="C610">
        <v>124714</v>
      </c>
      <c r="D610">
        <v>4708</v>
      </c>
      <c r="E610">
        <v>8</v>
      </c>
      <c r="F610">
        <v>2.15</v>
      </c>
      <c r="G610">
        <v>6.2</v>
      </c>
      <c r="H610">
        <v>95</v>
      </c>
      <c r="I610">
        <v>95</v>
      </c>
      <c r="J610">
        <v>95</v>
      </c>
      <c r="K610">
        <v>95</v>
      </c>
      <c r="L610">
        <v>0</v>
      </c>
      <c r="M610">
        <v>21</v>
      </c>
      <c r="N610" t="s">
        <v>28</v>
      </c>
      <c r="O610" s="8">
        <v>69.5</v>
      </c>
      <c r="P610" s="7">
        <f t="shared" si="0"/>
        <v>-131.417</v>
      </c>
    </row>
    <row r="611" spans="1:16">
      <c r="A611">
        <v>1958</v>
      </c>
      <c r="B611">
        <v>1</v>
      </c>
      <c r="C611">
        <v>48423</v>
      </c>
      <c r="D611">
        <v>1828</v>
      </c>
      <c r="E611">
        <v>9</v>
      </c>
      <c r="F611">
        <v>2.96</v>
      </c>
      <c r="G611">
        <v>7.4</v>
      </c>
      <c r="H611">
        <v>81</v>
      </c>
      <c r="I611">
        <v>81</v>
      </c>
      <c r="J611">
        <v>81</v>
      </c>
      <c r="K611">
        <v>81</v>
      </c>
      <c r="L611">
        <v>0</v>
      </c>
      <c r="M611">
        <v>21</v>
      </c>
      <c r="N611" t="s">
        <v>28</v>
      </c>
      <c r="O611" s="8">
        <v>70.5</v>
      </c>
      <c r="P611" s="7">
        <f t="shared" si="0"/>
        <v>-131.417</v>
      </c>
    </row>
    <row r="612" spans="1:16">
      <c r="A612">
        <v>1959</v>
      </c>
      <c r="B612">
        <v>1</v>
      </c>
      <c r="C612">
        <v>48423</v>
      </c>
      <c r="D612">
        <v>1828</v>
      </c>
      <c r="E612">
        <v>11</v>
      </c>
      <c r="F612">
        <v>2.15</v>
      </c>
      <c r="G612">
        <v>7.7</v>
      </c>
      <c r="H612">
        <v>78</v>
      </c>
      <c r="I612">
        <v>78</v>
      </c>
      <c r="J612">
        <v>78</v>
      </c>
      <c r="K612">
        <v>78</v>
      </c>
      <c r="L612">
        <v>0</v>
      </c>
      <c r="M612">
        <v>21</v>
      </c>
      <c r="N612" t="s">
        <v>28</v>
      </c>
      <c r="O612" s="8">
        <v>71.5</v>
      </c>
      <c r="P612" s="7">
        <f t="shared" si="0"/>
        <v>-131.417</v>
      </c>
    </row>
    <row r="613" spans="1:16">
      <c r="A613">
        <v>1960</v>
      </c>
      <c r="B613">
        <v>1</v>
      </c>
      <c r="C613">
        <v>125906</v>
      </c>
      <c r="D613">
        <v>4753</v>
      </c>
      <c r="E613">
        <v>18</v>
      </c>
      <c r="F613">
        <v>4.13</v>
      </c>
      <c r="G613">
        <v>7.2</v>
      </c>
      <c r="H613">
        <v>84</v>
      </c>
      <c r="I613">
        <v>84</v>
      </c>
      <c r="J613">
        <v>84</v>
      </c>
      <c r="K613">
        <v>84</v>
      </c>
      <c r="L613">
        <v>0</v>
      </c>
      <c r="M613">
        <v>21</v>
      </c>
      <c r="N613" t="s">
        <v>28</v>
      </c>
      <c r="O613" s="8">
        <v>72.5</v>
      </c>
      <c r="P613" s="7">
        <f t="shared" si="0"/>
        <v>-131.417</v>
      </c>
    </row>
    <row r="614" spans="1:16">
      <c r="A614">
        <v>1961</v>
      </c>
      <c r="B614">
        <v>2</v>
      </c>
      <c r="C614">
        <v>383650</v>
      </c>
      <c r="D614">
        <v>15615</v>
      </c>
      <c r="E614">
        <v>5</v>
      </c>
      <c r="F614">
        <v>2.15</v>
      </c>
      <c r="G614" t="s">
        <v>0</v>
      </c>
      <c r="H614">
        <v>85</v>
      </c>
      <c r="I614">
        <v>85</v>
      </c>
      <c r="J614">
        <v>85</v>
      </c>
      <c r="K614">
        <v>85</v>
      </c>
      <c r="L614">
        <v>0</v>
      </c>
      <c r="M614">
        <v>21</v>
      </c>
      <c r="N614" t="s">
        <v>28</v>
      </c>
      <c r="O614" s="8">
        <v>73.5</v>
      </c>
      <c r="P614" s="7">
        <f t="shared" si="0"/>
        <v>-131.417</v>
      </c>
    </row>
    <row r="615" spans="1:16">
      <c r="A615">
        <v>1962</v>
      </c>
      <c r="B615">
        <v>2</v>
      </c>
      <c r="C615">
        <v>93892</v>
      </c>
      <c r="D615">
        <v>3656</v>
      </c>
      <c r="E615">
        <v>10</v>
      </c>
      <c r="F615">
        <v>2.15</v>
      </c>
      <c r="G615">
        <v>6</v>
      </c>
      <c r="H615">
        <v>81.5</v>
      </c>
      <c r="I615">
        <v>80.400000000000006</v>
      </c>
      <c r="J615">
        <v>80</v>
      </c>
      <c r="K615">
        <v>83</v>
      </c>
      <c r="L615">
        <v>0</v>
      </c>
      <c r="M615">
        <v>21</v>
      </c>
      <c r="N615" t="s">
        <v>28</v>
      </c>
      <c r="O615" s="8">
        <v>74.5</v>
      </c>
      <c r="P615" s="7">
        <f t="shared" si="0"/>
        <v>-131.417</v>
      </c>
    </row>
    <row r="616" spans="1:16">
      <c r="A616">
        <v>1963</v>
      </c>
      <c r="B616">
        <v>1</v>
      </c>
      <c r="C616">
        <v>11561</v>
      </c>
      <c r="D616">
        <v>548</v>
      </c>
      <c r="E616">
        <v>9</v>
      </c>
      <c r="F616">
        <v>1.34</v>
      </c>
      <c r="G616">
        <v>7.6</v>
      </c>
      <c r="H616">
        <v>87</v>
      </c>
      <c r="I616">
        <v>87</v>
      </c>
      <c r="J616">
        <v>87</v>
      </c>
      <c r="K616">
        <v>87</v>
      </c>
      <c r="L616">
        <v>0</v>
      </c>
      <c r="M616">
        <v>21</v>
      </c>
      <c r="N616" t="s">
        <v>28</v>
      </c>
      <c r="O616" s="8">
        <v>75.5</v>
      </c>
      <c r="P616" s="7">
        <f t="shared" si="0"/>
        <v>-131.417</v>
      </c>
    </row>
    <row r="617" spans="1:16">
      <c r="A617">
        <v>1964</v>
      </c>
      <c r="B617">
        <v>3</v>
      </c>
      <c r="C617">
        <v>181712</v>
      </c>
      <c r="D617">
        <v>6855</v>
      </c>
      <c r="E617">
        <v>23</v>
      </c>
      <c r="F617">
        <v>3.35</v>
      </c>
      <c r="G617">
        <v>7.5</v>
      </c>
      <c r="H617">
        <v>74.3</v>
      </c>
      <c r="I617">
        <v>70.5</v>
      </c>
      <c r="J617">
        <v>70</v>
      </c>
      <c r="K617">
        <v>83</v>
      </c>
      <c r="L617">
        <v>0</v>
      </c>
      <c r="M617">
        <v>21</v>
      </c>
      <c r="N617" t="s">
        <v>28</v>
      </c>
      <c r="O617" s="8">
        <v>76.5</v>
      </c>
      <c r="P617" s="7">
        <f t="shared" si="0"/>
        <v>-131.417</v>
      </c>
    </row>
    <row r="618" spans="1:16">
      <c r="A618">
        <v>1965</v>
      </c>
      <c r="B618">
        <v>2</v>
      </c>
      <c r="C618">
        <v>67787</v>
      </c>
      <c r="D618">
        <v>2559</v>
      </c>
      <c r="E618">
        <v>9</v>
      </c>
      <c r="F618">
        <v>2.96</v>
      </c>
      <c r="G618">
        <v>7</v>
      </c>
      <c r="H618">
        <v>94</v>
      </c>
      <c r="I618">
        <v>94</v>
      </c>
      <c r="J618">
        <v>94</v>
      </c>
      <c r="K618">
        <v>94</v>
      </c>
      <c r="L618">
        <v>0</v>
      </c>
      <c r="M618">
        <v>21</v>
      </c>
      <c r="N618" t="s">
        <v>28</v>
      </c>
      <c r="O618" s="8">
        <v>77.5</v>
      </c>
      <c r="P618" s="7">
        <f t="shared" si="0"/>
        <v>-131.417</v>
      </c>
    </row>
    <row r="619" spans="1:16">
      <c r="A619">
        <v>1966</v>
      </c>
      <c r="B619">
        <v>8</v>
      </c>
      <c r="C619">
        <v>226096</v>
      </c>
      <c r="D619">
        <v>8591</v>
      </c>
      <c r="E619">
        <v>27</v>
      </c>
      <c r="F619">
        <v>2.35</v>
      </c>
      <c r="G619">
        <v>7.8</v>
      </c>
      <c r="H619">
        <v>104</v>
      </c>
      <c r="I619">
        <v>104.4</v>
      </c>
      <c r="J619">
        <v>95</v>
      </c>
      <c r="K619">
        <v>111</v>
      </c>
      <c r="L619">
        <v>0</v>
      </c>
      <c r="M619">
        <v>21</v>
      </c>
      <c r="N619" t="s">
        <v>28</v>
      </c>
      <c r="O619" s="8">
        <v>78.5</v>
      </c>
      <c r="P619" s="7">
        <f t="shared" si="0"/>
        <v>-131.417</v>
      </c>
    </row>
    <row r="620" spans="1:16">
      <c r="A620">
        <v>1967</v>
      </c>
      <c r="B620">
        <v>2</v>
      </c>
      <c r="C620">
        <v>39421</v>
      </c>
      <c r="D620">
        <v>1463</v>
      </c>
      <c r="E620">
        <v>35</v>
      </c>
      <c r="F620">
        <v>2.74</v>
      </c>
      <c r="G620">
        <v>7.4</v>
      </c>
      <c r="H620">
        <v>101.5</v>
      </c>
      <c r="I620">
        <v>104.2</v>
      </c>
      <c r="J620">
        <v>96</v>
      </c>
      <c r="K620">
        <v>107</v>
      </c>
      <c r="L620">
        <v>0</v>
      </c>
      <c r="M620">
        <v>21</v>
      </c>
      <c r="N620" t="s">
        <v>28</v>
      </c>
      <c r="O620" s="8">
        <v>79.5</v>
      </c>
      <c r="P620" s="7">
        <f t="shared" si="0"/>
        <v>-131.417</v>
      </c>
    </row>
    <row r="621" spans="1:16">
      <c r="A621">
        <v>1968</v>
      </c>
      <c r="B621">
        <v>7</v>
      </c>
      <c r="C621">
        <v>49033</v>
      </c>
      <c r="D621">
        <v>1851</v>
      </c>
      <c r="E621">
        <v>8</v>
      </c>
      <c r="F621">
        <v>2.2599999999999998</v>
      </c>
      <c r="G621">
        <v>7.4</v>
      </c>
      <c r="H621">
        <v>99.9</v>
      </c>
      <c r="I621">
        <v>101.2</v>
      </c>
      <c r="J621">
        <v>92</v>
      </c>
      <c r="K621">
        <v>103</v>
      </c>
      <c r="L621">
        <v>0</v>
      </c>
      <c r="M621">
        <v>21</v>
      </c>
      <c r="N621" t="s">
        <v>28</v>
      </c>
      <c r="O621" s="8">
        <v>80.5</v>
      </c>
      <c r="P621" s="7">
        <f t="shared" si="0"/>
        <v>-131.417</v>
      </c>
    </row>
    <row r="622" spans="1:16">
      <c r="A622">
        <v>1969</v>
      </c>
      <c r="B622">
        <v>1</v>
      </c>
      <c r="C622">
        <v>91999</v>
      </c>
      <c r="D622">
        <v>3473</v>
      </c>
      <c r="E622">
        <v>23</v>
      </c>
      <c r="F622">
        <v>4.13</v>
      </c>
      <c r="G622">
        <v>7.8</v>
      </c>
      <c r="H622">
        <v>119</v>
      </c>
      <c r="I622">
        <v>119</v>
      </c>
      <c r="J622">
        <v>119</v>
      </c>
      <c r="K622">
        <v>119</v>
      </c>
      <c r="L622">
        <v>0</v>
      </c>
      <c r="M622">
        <v>21</v>
      </c>
      <c r="N622" t="s">
        <v>28</v>
      </c>
      <c r="O622" s="8">
        <v>81.5</v>
      </c>
      <c r="P622" s="7">
        <f t="shared" si="0"/>
        <v>-131.417</v>
      </c>
    </row>
    <row r="623" spans="1:16">
      <c r="A623">
        <v>1970</v>
      </c>
      <c r="B623">
        <v>4</v>
      </c>
      <c r="C623">
        <v>41103</v>
      </c>
      <c r="D623">
        <v>1532</v>
      </c>
      <c r="E623">
        <v>57</v>
      </c>
      <c r="F623">
        <v>2.56</v>
      </c>
      <c r="G623">
        <v>7.9</v>
      </c>
      <c r="H623">
        <v>93.3</v>
      </c>
      <c r="I623">
        <v>95.7</v>
      </c>
      <c r="J623">
        <v>92</v>
      </c>
      <c r="K623">
        <v>97</v>
      </c>
      <c r="L623">
        <v>0</v>
      </c>
      <c r="M623">
        <v>21</v>
      </c>
      <c r="N623" t="s">
        <v>28</v>
      </c>
      <c r="O623" s="8">
        <v>82.5</v>
      </c>
      <c r="P623" s="7">
        <f t="shared" si="0"/>
        <v>-131.417</v>
      </c>
    </row>
    <row r="624" spans="1:16">
      <c r="A624">
        <v>1971</v>
      </c>
      <c r="B624">
        <v>1</v>
      </c>
      <c r="C624">
        <v>213057</v>
      </c>
      <c r="D624">
        <v>8043</v>
      </c>
      <c r="E624">
        <v>27</v>
      </c>
      <c r="F624">
        <v>5.3</v>
      </c>
      <c r="G624">
        <v>6.3</v>
      </c>
      <c r="H624">
        <v>95</v>
      </c>
      <c r="I624">
        <v>95</v>
      </c>
      <c r="J624">
        <v>95</v>
      </c>
      <c r="K624">
        <v>95</v>
      </c>
      <c r="L624">
        <v>0</v>
      </c>
      <c r="M624">
        <v>21</v>
      </c>
      <c r="N624" t="s">
        <v>28</v>
      </c>
      <c r="O624" s="8">
        <v>83.5</v>
      </c>
      <c r="P624" s="7">
        <f t="shared" si="0"/>
        <v>-131.417</v>
      </c>
    </row>
    <row r="625" spans="1:16">
      <c r="A625">
        <v>1972</v>
      </c>
      <c r="B625">
        <v>0</v>
      </c>
      <c r="C625">
        <v>0</v>
      </c>
      <c r="D625">
        <v>0</v>
      </c>
      <c r="E625">
        <v>0</v>
      </c>
      <c r="F625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>
        <v>0</v>
      </c>
      <c r="M625">
        <v>21</v>
      </c>
      <c r="N625" t="s">
        <v>28</v>
      </c>
      <c r="O625" s="8">
        <v>84.5</v>
      </c>
      <c r="P625" s="7">
        <f t="shared" si="0"/>
        <v>-131.417</v>
      </c>
    </row>
    <row r="626" spans="1:16">
      <c r="A626">
        <v>1973</v>
      </c>
      <c r="B626">
        <v>0</v>
      </c>
      <c r="C626">
        <v>0</v>
      </c>
      <c r="D626">
        <v>0</v>
      </c>
      <c r="E626">
        <v>0</v>
      </c>
      <c r="F626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>
        <v>0</v>
      </c>
      <c r="M626">
        <v>21</v>
      </c>
      <c r="N626" t="s">
        <v>28</v>
      </c>
      <c r="O626" s="8">
        <v>85.5</v>
      </c>
      <c r="P626" s="7">
        <f t="shared" si="0"/>
        <v>-131.417</v>
      </c>
    </row>
    <row r="627" spans="1:16">
      <c r="A627">
        <v>1974</v>
      </c>
      <c r="B627">
        <v>0</v>
      </c>
      <c r="C627">
        <v>0</v>
      </c>
      <c r="D627">
        <v>0</v>
      </c>
      <c r="E627">
        <v>0</v>
      </c>
      <c r="F627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>
        <v>0</v>
      </c>
      <c r="M627">
        <v>21</v>
      </c>
      <c r="N627" t="s">
        <v>28</v>
      </c>
      <c r="O627" s="8">
        <v>86.5</v>
      </c>
      <c r="P627" s="7">
        <f t="shared" si="0"/>
        <v>-131.417</v>
      </c>
    </row>
    <row r="628" spans="1:16">
      <c r="A628">
        <v>1975</v>
      </c>
      <c r="B628">
        <v>0</v>
      </c>
      <c r="C628">
        <v>0</v>
      </c>
      <c r="D628">
        <v>0</v>
      </c>
      <c r="E628">
        <v>0</v>
      </c>
      <c r="F628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>
        <v>0</v>
      </c>
      <c r="M628">
        <v>21</v>
      </c>
      <c r="N628" t="s">
        <v>28</v>
      </c>
      <c r="O628" s="8">
        <v>87.5</v>
      </c>
      <c r="P628" s="7">
        <f t="shared" si="0"/>
        <v>-131.417</v>
      </c>
    </row>
    <row r="629" spans="1:16">
      <c r="A629">
        <v>1976</v>
      </c>
      <c r="B629">
        <v>6</v>
      </c>
      <c r="C629">
        <v>290706</v>
      </c>
      <c r="D629">
        <v>12248</v>
      </c>
      <c r="E629">
        <v>7</v>
      </c>
      <c r="F629">
        <v>2.95</v>
      </c>
      <c r="G629">
        <v>6.6</v>
      </c>
      <c r="H629">
        <v>100.8</v>
      </c>
      <c r="I629">
        <v>100.6</v>
      </c>
      <c r="J629">
        <v>96</v>
      </c>
      <c r="K629">
        <v>105</v>
      </c>
      <c r="L629">
        <v>0</v>
      </c>
      <c r="M629">
        <v>21</v>
      </c>
      <c r="N629" t="s">
        <v>28</v>
      </c>
      <c r="O629" s="8">
        <v>88.5</v>
      </c>
      <c r="P629" s="7">
        <f t="shared" si="0"/>
        <v>-131.417</v>
      </c>
    </row>
    <row r="630" spans="1:16">
      <c r="A630">
        <v>1977</v>
      </c>
      <c r="B630">
        <v>8</v>
      </c>
      <c r="C630">
        <v>376037</v>
      </c>
      <c r="D630">
        <v>17824</v>
      </c>
      <c r="E630">
        <v>8</v>
      </c>
      <c r="F630">
        <v>3.5</v>
      </c>
      <c r="G630">
        <v>7.8</v>
      </c>
      <c r="H630">
        <v>90.3</v>
      </c>
      <c r="I630">
        <v>90.2</v>
      </c>
      <c r="J630">
        <v>88</v>
      </c>
      <c r="K630">
        <v>91</v>
      </c>
      <c r="L630">
        <v>0</v>
      </c>
      <c r="M630">
        <v>21</v>
      </c>
      <c r="N630" t="s">
        <v>28</v>
      </c>
      <c r="O630" s="8">
        <v>89.5</v>
      </c>
      <c r="P630" s="7">
        <f t="shared" si="0"/>
        <v>-131.417</v>
      </c>
    </row>
    <row r="631" spans="1:16">
      <c r="A631">
        <v>1978</v>
      </c>
      <c r="B631">
        <v>19</v>
      </c>
      <c r="C631">
        <v>243699</v>
      </c>
      <c r="D631">
        <v>11333</v>
      </c>
      <c r="E631">
        <v>20</v>
      </c>
      <c r="F631">
        <v>1.94</v>
      </c>
      <c r="G631">
        <v>8.5</v>
      </c>
      <c r="H631">
        <v>107.5</v>
      </c>
      <c r="I631">
        <v>106.5</v>
      </c>
      <c r="J631">
        <v>93</v>
      </c>
      <c r="K631">
        <v>114</v>
      </c>
      <c r="L631">
        <v>0</v>
      </c>
      <c r="M631">
        <v>21</v>
      </c>
      <c r="N631" t="s">
        <v>28</v>
      </c>
      <c r="O631" s="8">
        <v>90.5</v>
      </c>
      <c r="P631" s="7">
        <f t="shared" si="0"/>
        <v>-131.417</v>
      </c>
    </row>
    <row r="632" spans="1:16">
      <c r="A632">
        <v>1979</v>
      </c>
      <c r="B632">
        <v>16</v>
      </c>
      <c r="C632">
        <v>90254</v>
      </c>
      <c r="D632">
        <v>4278</v>
      </c>
      <c r="E632">
        <v>16</v>
      </c>
      <c r="F632">
        <v>2.8</v>
      </c>
      <c r="G632">
        <v>7.5</v>
      </c>
      <c r="H632">
        <v>97.5</v>
      </c>
      <c r="I632">
        <v>97.5</v>
      </c>
      <c r="J632">
        <v>96</v>
      </c>
      <c r="K632">
        <v>100</v>
      </c>
      <c r="L632">
        <v>0</v>
      </c>
      <c r="M632">
        <v>21</v>
      </c>
      <c r="N632" t="s">
        <v>28</v>
      </c>
      <c r="O632" s="8">
        <v>91.5</v>
      </c>
      <c r="P632" s="7">
        <f t="shared" si="0"/>
        <v>-131.417</v>
      </c>
    </row>
    <row r="633" spans="1:16">
      <c r="A633">
        <v>1980</v>
      </c>
      <c r="B633">
        <v>92</v>
      </c>
      <c r="C633">
        <v>525989</v>
      </c>
      <c r="D633">
        <v>25005</v>
      </c>
      <c r="E633">
        <v>25</v>
      </c>
      <c r="F633">
        <v>3.19</v>
      </c>
      <c r="G633">
        <v>8.1</v>
      </c>
      <c r="H633">
        <v>92.4</v>
      </c>
      <c r="I633">
        <v>91.9</v>
      </c>
      <c r="J633">
        <v>85</v>
      </c>
      <c r="K633">
        <v>108</v>
      </c>
      <c r="L633">
        <v>0</v>
      </c>
      <c r="M633">
        <v>21</v>
      </c>
      <c r="N633" t="s">
        <v>28</v>
      </c>
      <c r="O633" s="8">
        <v>92.5</v>
      </c>
      <c r="P633" s="7">
        <f t="shared" si="0"/>
        <v>-131.417</v>
      </c>
    </row>
    <row r="634" spans="1:16">
      <c r="A634">
        <v>1981</v>
      </c>
      <c r="B634">
        <v>84</v>
      </c>
      <c r="C634">
        <v>546295</v>
      </c>
      <c r="D634">
        <v>23850</v>
      </c>
      <c r="E634">
        <v>25</v>
      </c>
      <c r="F634">
        <v>3.25</v>
      </c>
      <c r="G634">
        <v>8.6999999999999993</v>
      </c>
      <c r="H634">
        <v>85.1</v>
      </c>
      <c r="I634">
        <v>84.3</v>
      </c>
      <c r="J634">
        <v>77</v>
      </c>
      <c r="K634">
        <v>107</v>
      </c>
      <c r="L634">
        <v>0</v>
      </c>
      <c r="M634">
        <v>21</v>
      </c>
      <c r="N634" t="s">
        <v>28</v>
      </c>
      <c r="O634" s="8">
        <v>93.5</v>
      </c>
      <c r="P634" s="7">
        <f t="shared" si="0"/>
        <v>-131.417</v>
      </c>
    </row>
    <row r="635" spans="1:16">
      <c r="A635">
        <v>1982</v>
      </c>
      <c r="B635">
        <v>21</v>
      </c>
      <c r="C635">
        <v>276346</v>
      </c>
      <c r="D635">
        <v>13162</v>
      </c>
      <c r="E635">
        <v>23</v>
      </c>
      <c r="F635">
        <v>2.68</v>
      </c>
      <c r="G635">
        <v>7.6</v>
      </c>
      <c r="H635">
        <v>82</v>
      </c>
      <c r="I635">
        <v>84.9</v>
      </c>
      <c r="J635">
        <v>76</v>
      </c>
      <c r="K635">
        <v>91</v>
      </c>
      <c r="L635">
        <v>0</v>
      </c>
      <c r="M635">
        <v>21</v>
      </c>
      <c r="N635" t="s">
        <v>28</v>
      </c>
      <c r="O635" s="8">
        <v>94.5</v>
      </c>
      <c r="P635" s="7">
        <f t="shared" si="0"/>
        <v>-131.417</v>
      </c>
    </row>
    <row r="636" spans="1:16">
      <c r="A636">
        <v>1983</v>
      </c>
      <c r="B636">
        <v>27</v>
      </c>
      <c r="C636">
        <v>475738</v>
      </c>
      <c r="D636">
        <v>22964</v>
      </c>
      <c r="E636">
        <v>22</v>
      </c>
      <c r="F636">
        <v>2.86</v>
      </c>
      <c r="G636">
        <v>9</v>
      </c>
      <c r="H636">
        <v>85.3</v>
      </c>
      <c r="I636">
        <v>82</v>
      </c>
      <c r="J636">
        <v>73</v>
      </c>
      <c r="K636">
        <v>102</v>
      </c>
      <c r="L636">
        <v>0</v>
      </c>
      <c r="M636">
        <v>21</v>
      </c>
      <c r="N636" t="s">
        <v>28</v>
      </c>
      <c r="O636" s="8">
        <v>95.5</v>
      </c>
      <c r="P636" s="7">
        <f t="shared" si="0"/>
        <v>-131.417</v>
      </c>
    </row>
    <row r="637" spans="1:16">
      <c r="A637">
        <v>1984</v>
      </c>
      <c r="B637">
        <v>36</v>
      </c>
      <c r="C637">
        <v>328769</v>
      </c>
      <c r="D637">
        <v>16670</v>
      </c>
      <c r="E637">
        <v>17</v>
      </c>
      <c r="F637">
        <v>3.12</v>
      </c>
      <c r="G637">
        <v>8.4</v>
      </c>
      <c r="H637">
        <v>89.1</v>
      </c>
      <c r="I637">
        <v>86.5</v>
      </c>
      <c r="J637">
        <v>68</v>
      </c>
      <c r="K637">
        <v>108</v>
      </c>
      <c r="L637">
        <v>0</v>
      </c>
      <c r="M637">
        <v>21</v>
      </c>
      <c r="N637" t="s">
        <v>28</v>
      </c>
      <c r="O637" s="8">
        <v>96.5</v>
      </c>
      <c r="P637" s="7">
        <f t="shared" si="0"/>
        <v>-131.417</v>
      </c>
    </row>
    <row r="638" spans="1:16">
      <c r="A638">
        <v>1985</v>
      </c>
      <c r="B638">
        <v>24</v>
      </c>
      <c r="C638">
        <v>296804</v>
      </c>
      <c r="D638">
        <v>16305</v>
      </c>
      <c r="E638">
        <v>24</v>
      </c>
      <c r="F638">
        <v>2.17</v>
      </c>
      <c r="G638">
        <v>7.4</v>
      </c>
      <c r="H638">
        <v>92.1</v>
      </c>
      <c r="I638">
        <v>92.1</v>
      </c>
      <c r="J638">
        <v>83</v>
      </c>
      <c r="K638">
        <v>96</v>
      </c>
      <c r="L638">
        <v>0</v>
      </c>
      <c r="M638">
        <v>21</v>
      </c>
      <c r="N638" t="s">
        <v>28</v>
      </c>
      <c r="O638" s="8">
        <v>97.5</v>
      </c>
      <c r="P638" s="7">
        <f t="shared" si="0"/>
        <v>-131.417</v>
      </c>
    </row>
    <row r="639" spans="1:16">
      <c r="A639">
        <v>1986</v>
      </c>
      <c r="B639">
        <v>17</v>
      </c>
      <c r="C639">
        <v>185360</v>
      </c>
      <c r="D639">
        <v>8786</v>
      </c>
      <c r="E639">
        <v>23</v>
      </c>
      <c r="F639">
        <v>1.79</v>
      </c>
      <c r="G639">
        <v>7.5</v>
      </c>
      <c r="H639">
        <v>96.3</v>
      </c>
      <c r="I639">
        <v>96.5</v>
      </c>
      <c r="J639">
        <v>96</v>
      </c>
      <c r="K639">
        <v>97</v>
      </c>
      <c r="L639">
        <v>0</v>
      </c>
      <c r="M639">
        <v>21</v>
      </c>
      <c r="N639" t="s">
        <v>28</v>
      </c>
      <c r="O639" s="8">
        <v>98.5</v>
      </c>
      <c r="P639" s="7">
        <f t="shared" si="0"/>
        <v>-131.417</v>
      </c>
    </row>
    <row r="640" spans="1:16">
      <c r="A640">
        <v>1987</v>
      </c>
      <c r="B640">
        <v>44</v>
      </c>
      <c r="C640">
        <v>275858</v>
      </c>
      <c r="D640">
        <v>13730</v>
      </c>
      <c r="E640">
        <v>18</v>
      </c>
      <c r="F640">
        <v>3.15</v>
      </c>
      <c r="G640">
        <v>8.3000000000000007</v>
      </c>
      <c r="H640">
        <v>102.8</v>
      </c>
      <c r="I640">
        <v>102.1</v>
      </c>
      <c r="J640">
        <v>87</v>
      </c>
      <c r="K640">
        <v>106</v>
      </c>
      <c r="L640">
        <v>0</v>
      </c>
      <c r="M640">
        <v>21</v>
      </c>
      <c r="N640" t="s">
        <v>28</v>
      </c>
      <c r="O640" s="8">
        <v>99.5</v>
      </c>
      <c r="P640" s="7">
        <f t="shared" si="0"/>
        <v>-131.417</v>
      </c>
    </row>
    <row r="641" spans="1:16">
      <c r="A641">
        <v>1988</v>
      </c>
      <c r="B641">
        <v>11</v>
      </c>
      <c r="C641">
        <v>248272</v>
      </c>
      <c r="D641">
        <v>11722</v>
      </c>
      <c r="E641">
        <v>75</v>
      </c>
      <c r="F641">
        <v>1.56</v>
      </c>
      <c r="G641">
        <v>7.6</v>
      </c>
      <c r="H641">
        <v>95.7</v>
      </c>
      <c r="I641">
        <v>90.5</v>
      </c>
      <c r="J641">
        <v>87</v>
      </c>
      <c r="K641">
        <v>116</v>
      </c>
      <c r="L641">
        <v>74</v>
      </c>
      <c r="M641">
        <v>21</v>
      </c>
      <c r="N641" t="s">
        <v>28</v>
      </c>
      <c r="O641" s="8">
        <v>100.5</v>
      </c>
      <c r="P641" s="7">
        <f t="shared" si="0"/>
        <v>-131.417</v>
      </c>
    </row>
    <row r="642" spans="1:16">
      <c r="A642">
        <v>1989</v>
      </c>
      <c r="B642">
        <v>49</v>
      </c>
      <c r="C642">
        <v>759867</v>
      </c>
      <c r="D642">
        <v>38545</v>
      </c>
      <c r="E642">
        <v>28</v>
      </c>
      <c r="F642">
        <v>2.62</v>
      </c>
      <c r="G642">
        <v>7.3</v>
      </c>
      <c r="H642">
        <v>108.7</v>
      </c>
      <c r="I642">
        <v>103.1</v>
      </c>
      <c r="J642">
        <v>100</v>
      </c>
      <c r="K642">
        <v>111</v>
      </c>
      <c r="L642">
        <v>73</v>
      </c>
      <c r="M642">
        <v>21</v>
      </c>
      <c r="N642" t="s">
        <v>28</v>
      </c>
      <c r="O642" s="8">
        <v>101.5</v>
      </c>
      <c r="P642" s="7">
        <f t="shared" si="0"/>
        <v>-131.417</v>
      </c>
    </row>
    <row r="643" spans="1:16">
      <c r="A643">
        <v>1990</v>
      </c>
      <c r="B643">
        <v>8</v>
      </c>
      <c r="C643">
        <v>704781</v>
      </c>
      <c r="D643">
        <v>32090</v>
      </c>
      <c r="E643">
        <v>80</v>
      </c>
      <c r="F643">
        <v>1.72</v>
      </c>
      <c r="G643">
        <v>8</v>
      </c>
      <c r="H643">
        <v>94</v>
      </c>
      <c r="I643">
        <v>94</v>
      </c>
      <c r="J643">
        <v>94</v>
      </c>
      <c r="K643">
        <v>94</v>
      </c>
      <c r="L643">
        <v>100</v>
      </c>
      <c r="M643">
        <v>21</v>
      </c>
      <c r="N643" t="s">
        <v>28</v>
      </c>
      <c r="O643" s="8">
        <v>102.5</v>
      </c>
      <c r="P643" s="7">
        <f t="shared" si="0"/>
        <v>-131.417</v>
      </c>
    </row>
    <row r="644" spans="1:16">
      <c r="A644">
        <v>1991</v>
      </c>
      <c r="B644">
        <v>5</v>
      </c>
      <c r="C644">
        <v>333125</v>
      </c>
      <c r="D644">
        <v>15790</v>
      </c>
      <c r="E644">
        <v>84</v>
      </c>
      <c r="F644">
        <v>1.04</v>
      </c>
      <c r="G644">
        <v>7.5</v>
      </c>
      <c r="H644">
        <v>97</v>
      </c>
      <c r="I644">
        <v>97</v>
      </c>
      <c r="J644">
        <v>97</v>
      </c>
      <c r="K644">
        <v>97</v>
      </c>
      <c r="L644">
        <v>100</v>
      </c>
      <c r="M644">
        <v>21</v>
      </c>
      <c r="N644" t="s">
        <v>28</v>
      </c>
      <c r="O644" s="8">
        <v>103.5</v>
      </c>
      <c r="P644" s="7">
        <f t="shared" si="0"/>
        <v>-131.417</v>
      </c>
    </row>
    <row r="645" spans="1:16">
      <c r="A645">
        <v>1992</v>
      </c>
      <c r="B645">
        <v>5</v>
      </c>
      <c r="C645">
        <v>314137</v>
      </c>
      <c r="D645">
        <v>14890</v>
      </c>
      <c r="E645">
        <v>64</v>
      </c>
      <c r="F645">
        <v>1.97</v>
      </c>
      <c r="G645">
        <v>9</v>
      </c>
      <c r="H645">
        <v>98</v>
      </c>
      <c r="I645">
        <v>96.6</v>
      </c>
      <c r="J645">
        <v>94</v>
      </c>
      <c r="K645">
        <v>103</v>
      </c>
      <c r="L645">
        <v>100</v>
      </c>
      <c r="M645">
        <v>21</v>
      </c>
      <c r="N645" t="s">
        <v>28</v>
      </c>
      <c r="O645" s="8">
        <v>104.5</v>
      </c>
      <c r="P645" s="7">
        <f t="shared" si="0"/>
        <v>-131.417</v>
      </c>
    </row>
    <row r="646" spans="1:16">
      <c r="A646">
        <v>1993</v>
      </c>
      <c r="B646">
        <v>5</v>
      </c>
      <c r="C646">
        <v>112870</v>
      </c>
      <c r="D646">
        <v>5350</v>
      </c>
      <c r="E646">
        <v>26</v>
      </c>
      <c r="F646">
        <v>1.41</v>
      </c>
      <c r="G646">
        <v>7.3</v>
      </c>
      <c r="H646">
        <v>88</v>
      </c>
      <c r="I646">
        <v>88</v>
      </c>
      <c r="J646">
        <v>88</v>
      </c>
      <c r="K646">
        <v>88</v>
      </c>
      <c r="L646">
        <v>100</v>
      </c>
      <c r="M646">
        <v>21</v>
      </c>
      <c r="N646" t="s">
        <v>28</v>
      </c>
      <c r="O646" s="8">
        <v>105.5</v>
      </c>
      <c r="P646" s="7">
        <f t="shared" si="0"/>
        <v>-131.417</v>
      </c>
    </row>
    <row r="647" spans="1:16">
      <c r="A647">
        <v>1994</v>
      </c>
      <c r="B647">
        <v>6</v>
      </c>
      <c r="C647">
        <v>261394</v>
      </c>
      <c r="D647">
        <v>12390</v>
      </c>
      <c r="E647">
        <v>55</v>
      </c>
      <c r="F647">
        <v>1.42</v>
      </c>
      <c r="G647" t="s">
        <v>0</v>
      </c>
      <c r="H647">
        <v>90</v>
      </c>
      <c r="I647" t="s">
        <v>0</v>
      </c>
      <c r="J647">
        <v>90</v>
      </c>
      <c r="K647">
        <v>90</v>
      </c>
      <c r="L647">
        <v>100</v>
      </c>
      <c r="M647">
        <v>21</v>
      </c>
      <c r="N647" t="s">
        <v>28</v>
      </c>
      <c r="O647" s="8">
        <v>106.5</v>
      </c>
      <c r="P647" s="7">
        <f t="shared" si="0"/>
        <v>-131.417</v>
      </c>
    </row>
    <row r="648" spans="1:16">
      <c r="A648">
        <v>1995</v>
      </c>
      <c r="B648">
        <v>3</v>
      </c>
      <c r="C648">
        <v>97435</v>
      </c>
      <c r="D648">
        <v>4465</v>
      </c>
      <c r="E648">
        <v>87</v>
      </c>
      <c r="F648">
        <v>2.42</v>
      </c>
      <c r="G648">
        <v>7.5</v>
      </c>
      <c r="H648">
        <v>100</v>
      </c>
      <c r="I648">
        <v>100</v>
      </c>
      <c r="J648">
        <v>100</v>
      </c>
      <c r="K648">
        <v>100</v>
      </c>
      <c r="L648">
        <v>100</v>
      </c>
      <c r="M648">
        <v>21</v>
      </c>
      <c r="N648" t="s">
        <v>28</v>
      </c>
      <c r="O648" s="8">
        <v>107.5</v>
      </c>
      <c r="P648" s="7">
        <f t="shared" si="0"/>
        <v>-131.417</v>
      </c>
    </row>
    <row r="649" spans="1:16">
      <c r="A649">
        <v>1996</v>
      </c>
      <c r="B649">
        <v>4</v>
      </c>
      <c r="C649">
        <v>189136</v>
      </c>
      <c r="D649">
        <v>8965</v>
      </c>
      <c r="E649">
        <v>49</v>
      </c>
      <c r="F649">
        <v>1.64</v>
      </c>
      <c r="G649">
        <v>8.5</v>
      </c>
      <c r="H649">
        <v>106.3</v>
      </c>
      <c r="I649">
        <v>106.1</v>
      </c>
      <c r="J649">
        <v>106</v>
      </c>
      <c r="K649">
        <v>107</v>
      </c>
      <c r="L649">
        <v>100</v>
      </c>
      <c r="M649">
        <v>21</v>
      </c>
      <c r="N649" t="s">
        <v>28</v>
      </c>
      <c r="O649" s="8">
        <v>108.5</v>
      </c>
      <c r="P649" s="7">
        <f t="shared" si="0"/>
        <v>-131.417</v>
      </c>
    </row>
    <row r="650" spans="1:16">
      <c r="A650">
        <v>1997</v>
      </c>
      <c r="B650">
        <v>6</v>
      </c>
      <c r="C650">
        <v>312792</v>
      </c>
      <c r="D650">
        <v>14200</v>
      </c>
      <c r="E650">
        <v>65</v>
      </c>
      <c r="F650">
        <v>2.44</v>
      </c>
      <c r="G650">
        <v>7</v>
      </c>
      <c r="H650">
        <v>96</v>
      </c>
      <c r="I650">
        <v>96.5</v>
      </c>
      <c r="J650">
        <v>91</v>
      </c>
      <c r="K650">
        <v>100</v>
      </c>
      <c r="L650">
        <v>100</v>
      </c>
      <c r="M650">
        <v>21</v>
      </c>
      <c r="N650" t="s">
        <v>28</v>
      </c>
      <c r="O650" s="8">
        <v>109.5</v>
      </c>
      <c r="P650" s="7">
        <f t="shared" si="0"/>
        <v>-131.417</v>
      </c>
    </row>
    <row r="651" spans="1:16">
      <c r="A651">
        <v>1998</v>
      </c>
      <c r="B651">
        <v>13</v>
      </c>
      <c r="C651">
        <v>496817</v>
      </c>
      <c r="D651">
        <v>25200</v>
      </c>
      <c r="E651">
        <v>86</v>
      </c>
      <c r="F651">
        <v>1.55</v>
      </c>
      <c r="G651">
        <v>8.5</v>
      </c>
      <c r="H651">
        <v>75.7</v>
      </c>
      <c r="I651">
        <v>76.099999999999994</v>
      </c>
      <c r="J651">
        <v>71</v>
      </c>
      <c r="K651">
        <v>90</v>
      </c>
      <c r="L651">
        <v>100</v>
      </c>
      <c r="M651">
        <v>21</v>
      </c>
      <c r="N651" t="s">
        <v>28</v>
      </c>
      <c r="O651" s="8">
        <v>110.5</v>
      </c>
      <c r="P651" s="7">
        <f t="shared" si="0"/>
        <v>-131.417</v>
      </c>
    </row>
    <row r="652" spans="1:16">
      <c r="A652">
        <v>1999</v>
      </c>
      <c r="B652">
        <v>7</v>
      </c>
      <c r="C652">
        <v>322346</v>
      </c>
      <c r="D652">
        <v>16880</v>
      </c>
      <c r="E652">
        <v>49</v>
      </c>
      <c r="F652">
        <v>0.9</v>
      </c>
      <c r="G652">
        <v>7.3</v>
      </c>
      <c r="H652">
        <v>73.3</v>
      </c>
      <c r="I652">
        <v>82.3</v>
      </c>
      <c r="J652">
        <v>57</v>
      </c>
      <c r="K652">
        <v>87</v>
      </c>
      <c r="L652">
        <v>100</v>
      </c>
      <c r="M652">
        <v>21</v>
      </c>
      <c r="N652" t="s">
        <v>28</v>
      </c>
      <c r="O652" s="8">
        <v>111.5</v>
      </c>
      <c r="P652" s="7">
        <f t="shared" si="0"/>
        <v>-131.417</v>
      </c>
    </row>
    <row r="653" spans="1:16">
      <c r="A653">
        <v>2000</v>
      </c>
      <c r="B653">
        <v>13</v>
      </c>
      <c r="C653">
        <v>259738</v>
      </c>
      <c r="D653">
        <v>16075</v>
      </c>
      <c r="E653">
        <v>80</v>
      </c>
      <c r="F653">
        <v>0.73</v>
      </c>
      <c r="G653">
        <v>7.5</v>
      </c>
      <c r="H653">
        <v>86.1</v>
      </c>
      <c r="I653">
        <v>84.7</v>
      </c>
      <c r="J653">
        <v>67</v>
      </c>
      <c r="K653">
        <v>93</v>
      </c>
      <c r="L653">
        <v>100</v>
      </c>
      <c r="M653">
        <v>21</v>
      </c>
      <c r="N653" t="s">
        <v>28</v>
      </c>
      <c r="O653" s="8">
        <v>112.5</v>
      </c>
      <c r="P653" s="7">
        <f t="shared" si="0"/>
        <v>-131.417</v>
      </c>
    </row>
    <row r="654" spans="1:16">
      <c r="A654">
        <v>2001</v>
      </c>
      <c r="B654">
        <v>17</v>
      </c>
      <c r="C654">
        <v>369090</v>
      </c>
      <c r="D654">
        <v>23375</v>
      </c>
      <c r="E654">
        <v>50</v>
      </c>
      <c r="F654">
        <v>1.26</v>
      </c>
      <c r="G654">
        <v>7.2</v>
      </c>
      <c r="H654">
        <v>88.9</v>
      </c>
      <c r="I654">
        <v>91.2</v>
      </c>
      <c r="J654">
        <v>63</v>
      </c>
      <c r="K654">
        <v>98</v>
      </c>
      <c r="L654">
        <v>100</v>
      </c>
      <c r="M654">
        <v>21</v>
      </c>
      <c r="N654" t="s">
        <v>28</v>
      </c>
      <c r="O654" s="8">
        <v>113.5</v>
      </c>
      <c r="P654" s="7">
        <f t="shared" si="0"/>
        <v>-131.417</v>
      </c>
    </row>
    <row r="655" spans="1:16">
      <c r="A655">
        <v>2002</v>
      </c>
      <c r="B655">
        <v>7</v>
      </c>
      <c r="C655">
        <v>146212</v>
      </c>
      <c r="D655">
        <v>5800</v>
      </c>
      <c r="E655">
        <v>37</v>
      </c>
      <c r="F655">
        <v>1.67</v>
      </c>
      <c r="G655">
        <v>6.3</v>
      </c>
      <c r="H655">
        <v>86.9</v>
      </c>
      <c r="I655">
        <v>81.7</v>
      </c>
      <c r="J655">
        <v>72</v>
      </c>
      <c r="K655">
        <v>109</v>
      </c>
      <c r="L655">
        <v>89</v>
      </c>
      <c r="M655">
        <v>21</v>
      </c>
      <c r="N655" t="s">
        <v>28</v>
      </c>
      <c r="O655" s="8">
        <v>114.5</v>
      </c>
      <c r="P655" s="7">
        <f t="shared" si="0"/>
        <v>-131.417</v>
      </c>
    </row>
    <row r="656" spans="1:16">
      <c r="A656">
        <v>2003</v>
      </c>
      <c r="B656">
        <v>5</v>
      </c>
      <c r="C656">
        <v>68317</v>
      </c>
      <c r="D656">
        <v>4900</v>
      </c>
      <c r="E656">
        <v>62</v>
      </c>
      <c r="F656">
        <v>0.86</v>
      </c>
      <c r="G656">
        <v>8.4</v>
      </c>
      <c r="H656">
        <v>98.4</v>
      </c>
      <c r="I656">
        <v>98.6</v>
      </c>
      <c r="J656">
        <v>90</v>
      </c>
      <c r="K656">
        <v>105</v>
      </c>
      <c r="L656">
        <v>100</v>
      </c>
      <c r="M656">
        <v>21</v>
      </c>
      <c r="N656" t="s">
        <v>28</v>
      </c>
      <c r="O656" s="8">
        <v>115.5</v>
      </c>
      <c r="P656" s="7">
        <f t="shared" si="0"/>
        <v>-131.417</v>
      </c>
    </row>
    <row r="657" spans="1:16">
      <c r="A657">
        <v>2004</v>
      </c>
      <c r="B657">
        <v>7</v>
      </c>
      <c r="C657">
        <v>172852</v>
      </c>
      <c r="D657">
        <v>12600</v>
      </c>
      <c r="E657">
        <v>27</v>
      </c>
      <c r="F657">
        <v>1.08</v>
      </c>
      <c r="G657">
        <v>7.4</v>
      </c>
      <c r="H657">
        <v>88.6</v>
      </c>
      <c r="I657">
        <v>87.3</v>
      </c>
      <c r="J657">
        <v>74</v>
      </c>
      <c r="K657">
        <v>92</v>
      </c>
      <c r="L657">
        <v>100</v>
      </c>
      <c r="M657">
        <v>21</v>
      </c>
      <c r="N657" t="s">
        <v>28</v>
      </c>
      <c r="O657" s="8">
        <v>116.5</v>
      </c>
      <c r="P657" s="7">
        <f t="shared" si="0"/>
        <v>-131.417</v>
      </c>
    </row>
    <row r="658" spans="1:16">
      <c r="A658">
        <v>2005</v>
      </c>
      <c r="B658">
        <v>4</v>
      </c>
      <c r="C658">
        <v>211205</v>
      </c>
      <c r="D658">
        <v>8450</v>
      </c>
      <c r="E658">
        <v>76</v>
      </c>
      <c r="F658">
        <v>1.38</v>
      </c>
      <c r="G658">
        <v>7.4</v>
      </c>
      <c r="H658">
        <v>91.5</v>
      </c>
      <c r="I658">
        <v>88.4</v>
      </c>
      <c r="J658">
        <v>82</v>
      </c>
      <c r="K658">
        <v>98</v>
      </c>
      <c r="L658">
        <v>100</v>
      </c>
      <c r="M658">
        <v>21</v>
      </c>
      <c r="N658" t="s">
        <v>28</v>
      </c>
      <c r="O658" s="8">
        <v>117.5</v>
      </c>
      <c r="P658" s="7">
        <f t="shared" ref="P658:P666" si="1">-131.417</f>
        <v>-131.417</v>
      </c>
    </row>
    <row r="659" spans="1:16">
      <c r="A659">
        <v>2006</v>
      </c>
      <c r="B659">
        <v>17</v>
      </c>
      <c r="C659">
        <v>159056</v>
      </c>
      <c r="D659">
        <v>9520</v>
      </c>
      <c r="E659">
        <v>35</v>
      </c>
      <c r="F659">
        <v>1.64</v>
      </c>
      <c r="G659">
        <v>7.9</v>
      </c>
      <c r="H659">
        <v>89.2</v>
      </c>
      <c r="I659">
        <v>89.3</v>
      </c>
      <c r="J659">
        <v>86</v>
      </c>
      <c r="K659">
        <v>94</v>
      </c>
      <c r="L659">
        <v>0</v>
      </c>
      <c r="M659">
        <v>21</v>
      </c>
      <c r="N659" t="s">
        <v>28</v>
      </c>
      <c r="O659" s="8">
        <v>118.5</v>
      </c>
      <c r="P659" s="7">
        <f t="shared" si="1"/>
        <v>-131.417</v>
      </c>
    </row>
    <row r="660" spans="1:16">
      <c r="A660">
        <v>2007</v>
      </c>
      <c r="B660">
        <v>20</v>
      </c>
      <c r="C660">
        <v>250134</v>
      </c>
      <c r="D660">
        <v>11203</v>
      </c>
      <c r="E660">
        <v>21</v>
      </c>
      <c r="F660">
        <v>0.95</v>
      </c>
      <c r="G660" t="s">
        <v>0</v>
      </c>
      <c r="H660">
        <v>90.2</v>
      </c>
      <c r="I660">
        <v>90.3</v>
      </c>
      <c r="J660">
        <v>90</v>
      </c>
      <c r="K660">
        <v>92</v>
      </c>
      <c r="L660">
        <v>0</v>
      </c>
      <c r="M660">
        <v>21</v>
      </c>
      <c r="N660" t="s">
        <v>28</v>
      </c>
      <c r="O660" s="8">
        <v>119.5</v>
      </c>
      <c r="P660" s="7">
        <f t="shared" si="1"/>
        <v>-131.417</v>
      </c>
    </row>
    <row r="661" spans="1:16">
      <c r="A661">
        <v>2008</v>
      </c>
      <c r="B661">
        <v>8</v>
      </c>
      <c r="C661">
        <v>233413</v>
      </c>
      <c r="D661">
        <v>10490</v>
      </c>
      <c r="E661">
        <v>36</v>
      </c>
      <c r="F661">
        <v>0.56999999999999995</v>
      </c>
      <c r="G661">
        <v>6.5</v>
      </c>
      <c r="H661">
        <v>103.9</v>
      </c>
      <c r="I661">
        <v>104</v>
      </c>
      <c r="J661">
        <v>96</v>
      </c>
      <c r="K661">
        <v>105</v>
      </c>
      <c r="L661">
        <v>100</v>
      </c>
      <c r="M661">
        <v>21</v>
      </c>
      <c r="N661" t="s">
        <v>28</v>
      </c>
      <c r="O661" s="8">
        <v>120.5</v>
      </c>
      <c r="P661" s="7">
        <f t="shared" si="1"/>
        <v>-131.417</v>
      </c>
    </row>
    <row r="662" spans="1:16">
      <c r="A662">
        <v>2009</v>
      </c>
      <c r="B662">
        <v>10</v>
      </c>
      <c r="C662">
        <v>582642</v>
      </c>
      <c r="D662">
        <v>24205</v>
      </c>
      <c r="E662">
        <v>33</v>
      </c>
      <c r="F662">
        <v>0.93</v>
      </c>
      <c r="G662">
        <v>7.5</v>
      </c>
      <c r="H662">
        <v>100</v>
      </c>
      <c r="I662">
        <v>101.9</v>
      </c>
      <c r="J662">
        <v>92</v>
      </c>
      <c r="K662">
        <v>113</v>
      </c>
      <c r="L662">
        <v>99</v>
      </c>
      <c r="M662">
        <v>21</v>
      </c>
      <c r="N662" t="s">
        <v>28</v>
      </c>
      <c r="O662" s="8">
        <v>121.5</v>
      </c>
      <c r="P662" s="7">
        <f t="shared" si="1"/>
        <v>-131.417</v>
      </c>
    </row>
    <row r="663" spans="1:16">
      <c r="A663">
        <v>2010</v>
      </c>
      <c r="B663">
        <v>10</v>
      </c>
      <c r="C663">
        <v>227006</v>
      </c>
      <c r="D663">
        <v>10760</v>
      </c>
      <c r="E663">
        <v>59</v>
      </c>
      <c r="F663">
        <v>0.54</v>
      </c>
      <c r="G663" t="s">
        <v>0</v>
      </c>
      <c r="H663">
        <v>96.8</v>
      </c>
      <c r="I663">
        <v>92.8</v>
      </c>
      <c r="J663">
        <v>90</v>
      </c>
      <c r="K663">
        <v>104</v>
      </c>
      <c r="L663">
        <v>90</v>
      </c>
      <c r="M663">
        <v>21</v>
      </c>
      <c r="N663" t="s">
        <v>28</v>
      </c>
      <c r="O663" s="8">
        <v>122.5</v>
      </c>
      <c r="P663" s="7">
        <f t="shared" si="1"/>
        <v>-131.417</v>
      </c>
    </row>
    <row r="664" spans="1:16">
      <c r="A664">
        <v>2011</v>
      </c>
      <c r="B664">
        <v>6</v>
      </c>
      <c r="C664">
        <v>154651</v>
      </c>
      <c r="D664">
        <v>5840</v>
      </c>
      <c r="E664">
        <v>28</v>
      </c>
      <c r="F664">
        <v>0.99</v>
      </c>
      <c r="G664" t="s">
        <v>0</v>
      </c>
      <c r="H664">
        <v>101.8</v>
      </c>
      <c r="I664">
        <v>104</v>
      </c>
      <c r="J664">
        <v>91</v>
      </c>
      <c r="K664">
        <v>104</v>
      </c>
      <c r="L664">
        <v>100</v>
      </c>
      <c r="M664">
        <v>21</v>
      </c>
      <c r="N664" t="s">
        <v>28</v>
      </c>
      <c r="O664" s="8">
        <v>123.5</v>
      </c>
      <c r="P664" s="7">
        <f t="shared" si="1"/>
        <v>-131.417</v>
      </c>
    </row>
    <row r="665" spans="1:16">
      <c r="A665">
        <v>2012</v>
      </c>
      <c r="B665">
        <v>21</v>
      </c>
      <c r="C665">
        <v>538843</v>
      </c>
      <c r="D665">
        <v>25480</v>
      </c>
      <c r="E665">
        <v>27</v>
      </c>
      <c r="F665">
        <v>1.57</v>
      </c>
      <c r="G665" t="s">
        <v>0</v>
      </c>
      <c r="H665">
        <v>96.5</v>
      </c>
      <c r="I665" t="s">
        <v>0</v>
      </c>
      <c r="J665">
        <v>88</v>
      </c>
      <c r="K665">
        <v>101</v>
      </c>
      <c r="L665">
        <v>73</v>
      </c>
      <c r="M665">
        <v>21</v>
      </c>
      <c r="N665" t="s">
        <v>28</v>
      </c>
      <c r="O665" s="8">
        <v>124.5</v>
      </c>
      <c r="P665" s="7">
        <f t="shared" si="1"/>
        <v>-131.417</v>
      </c>
    </row>
    <row r="666" spans="1:16">
      <c r="A666">
        <v>2013</v>
      </c>
      <c r="B666">
        <v>20</v>
      </c>
      <c r="C666">
        <v>812427</v>
      </c>
      <c r="D666">
        <v>48900</v>
      </c>
      <c r="E666">
        <v>36</v>
      </c>
      <c r="F666">
        <v>1.32</v>
      </c>
      <c r="G666" t="s">
        <v>0</v>
      </c>
      <c r="H666">
        <v>92.8</v>
      </c>
      <c r="I666">
        <v>88.4</v>
      </c>
      <c r="J666">
        <v>78</v>
      </c>
      <c r="K666">
        <v>105</v>
      </c>
      <c r="L666">
        <v>82</v>
      </c>
      <c r="M666">
        <v>21</v>
      </c>
      <c r="N666" t="s">
        <v>28</v>
      </c>
      <c r="O666" s="8">
        <v>125.5</v>
      </c>
      <c r="P666" s="7">
        <f t="shared" si="1"/>
        <v>-131.417</v>
      </c>
    </row>
    <row r="667" spans="1:16">
      <c r="A667">
        <v>1940</v>
      </c>
      <c r="B667">
        <v>1</v>
      </c>
      <c r="C667">
        <v>94276</v>
      </c>
      <c r="D667">
        <v>6435</v>
      </c>
      <c r="E667">
        <v>9</v>
      </c>
      <c r="F667">
        <v>5.3</v>
      </c>
      <c r="G667" t="s">
        <v>0</v>
      </c>
      <c r="H667">
        <v>96</v>
      </c>
      <c r="I667">
        <v>96</v>
      </c>
      <c r="J667">
        <v>96</v>
      </c>
      <c r="K667">
        <v>96</v>
      </c>
      <c r="L667">
        <v>0</v>
      </c>
      <c r="M667">
        <v>22</v>
      </c>
      <c r="N667" t="s">
        <v>23</v>
      </c>
      <c r="O667" s="8">
        <v>53.2333</v>
      </c>
      <c r="P667" s="7">
        <v>-132</v>
      </c>
    </row>
    <row r="668" spans="1:16">
      <c r="A668">
        <v>1941</v>
      </c>
      <c r="B668">
        <v>1</v>
      </c>
      <c r="C668">
        <v>94276</v>
      </c>
      <c r="D668">
        <v>6435</v>
      </c>
      <c r="E668">
        <v>9</v>
      </c>
      <c r="F668">
        <v>5.3</v>
      </c>
      <c r="G668" t="s">
        <v>0</v>
      </c>
      <c r="H668">
        <v>95</v>
      </c>
      <c r="I668">
        <v>95</v>
      </c>
      <c r="J668">
        <v>95</v>
      </c>
      <c r="K668">
        <v>95</v>
      </c>
      <c r="L668">
        <v>0</v>
      </c>
      <c r="M668">
        <v>22</v>
      </c>
      <c r="N668" t="s">
        <v>23</v>
      </c>
      <c r="O668" s="8">
        <v>53.2333</v>
      </c>
      <c r="P668" s="7">
        <v>-132</v>
      </c>
    </row>
    <row r="669" spans="1:16">
      <c r="A669">
        <v>1942</v>
      </c>
      <c r="B669">
        <v>3</v>
      </c>
      <c r="C669">
        <v>107125</v>
      </c>
      <c r="D669">
        <v>7312</v>
      </c>
      <c r="E669">
        <v>18</v>
      </c>
      <c r="F669">
        <v>4.45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>
        <v>0</v>
      </c>
      <c r="M669">
        <v>22</v>
      </c>
      <c r="N669" t="s">
        <v>23</v>
      </c>
      <c r="O669" s="8">
        <v>53.2333</v>
      </c>
      <c r="P669" s="7">
        <v>-132</v>
      </c>
    </row>
    <row r="670" spans="1:16">
      <c r="A670">
        <v>1943</v>
      </c>
      <c r="B670">
        <v>2</v>
      </c>
      <c r="C670">
        <v>66844</v>
      </c>
      <c r="D670">
        <v>4296</v>
      </c>
      <c r="E670">
        <v>25</v>
      </c>
      <c r="F670">
        <v>5.29</v>
      </c>
      <c r="G670" t="s">
        <v>0</v>
      </c>
      <c r="H670">
        <v>102</v>
      </c>
      <c r="I670">
        <v>101.4</v>
      </c>
      <c r="J670">
        <v>99</v>
      </c>
      <c r="K670">
        <v>105</v>
      </c>
      <c r="L670">
        <v>0</v>
      </c>
      <c r="M670">
        <v>22</v>
      </c>
      <c r="N670" t="s">
        <v>23</v>
      </c>
      <c r="O670" s="8">
        <v>53.2333</v>
      </c>
      <c r="P670" s="7">
        <v>-132</v>
      </c>
    </row>
    <row r="671" spans="1:16">
      <c r="A671">
        <v>1944</v>
      </c>
      <c r="B671">
        <v>5</v>
      </c>
      <c r="C671">
        <v>116429</v>
      </c>
      <c r="D671">
        <v>7367</v>
      </c>
      <c r="E671">
        <v>18</v>
      </c>
      <c r="F671">
        <v>2.74</v>
      </c>
      <c r="G671" t="s">
        <v>0</v>
      </c>
      <c r="H671">
        <v>131.6</v>
      </c>
      <c r="I671">
        <v>132</v>
      </c>
      <c r="J671">
        <v>129</v>
      </c>
      <c r="K671">
        <v>137</v>
      </c>
      <c r="L671">
        <v>0</v>
      </c>
      <c r="M671">
        <v>22</v>
      </c>
      <c r="N671" t="s">
        <v>23</v>
      </c>
      <c r="O671" s="8">
        <v>53.2333</v>
      </c>
      <c r="P671" s="7">
        <v>-132</v>
      </c>
    </row>
    <row r="672" spans="1:16">
      <c r="A672">
        <v>1945</v>
      </c>
      <c r="B672">
        <v>2</v>
      </c>
      <c r="C672">
        <v>16057</v>
      </c>
      <c r="D672">
        <v>1096</v>
      </c>
      <c r="E672">
        <v>14</v>
      </c>
      <c r="F672">
        <v>2.04</v>
      </c>
      <c r="G672" t="s">
        <v>0</v>
      </c>
      <c r="H672">
        <v>121</v>
      </c>
      <c r="I672">
        <v>121</v>
      </c>
      <c r="J672">
        <v>119</v>
      </c>
      <c r="K672">
        <v>123</v>
      </c>
      <c r="L672">
        <v>0</v>
      </c>
      <c r="M672">
        <v>22</v>
      </c>
      <c r="N672" t="s">
        <v>23</v>
      </c>
      <c r="O672" s="8">
        <v>53.2333</v>
      </c>
      <c r="P672" s="7">
        <v>-132</v>
      </c>
    </row>
    <row r="673" spans="1:16">
      <c r="A673">
        <v>1946</v>
      </c>
      <c r="B673">
        <v>1</v>
      </c>
      <c r="C673">
        <v>16072</v>
      </c>
      <c r="D673">
        <v>1097</v>
      </c>
      <c r="E673">
        <v>16</v>
      </c>
      <c r="F673">
        <v>2.74</v>
      </c>
      <c r="G673" t="s">
        <v>0</v>
      </c>
      <c r="H673">
        <v>92</v>
      </c>
      <c r="I673">
        <v>92</v>
      </c>
      <c r="J673">
        <v>92</v>
      </c>
      <c r="K673">
        <v>92</v>
      </c>
      <c r="L673">
        <v>0</v>
      </c>
      <c r="M673">
        <v>22</v>
      </c>
      <c r="N673" t="s">
        <v>23</v>
      </c>
      <c r="O673" s="8">
        <v>53.2333</v>
      </c>
      <c r="P673" s="7">
        <v>-132</v>
      </c>
    </row>
    <row r="674" spans="1:16">
      <c r="A674">
        <v>1947</v>
      </c>
      <c r="B674">
        <v>0</v>
      </c>
      <c r="C674">
        <v>0</v>
      </c>
      <c r="D674">
        <v>0</v>
      </c>
      <c r="E674">
        <v>0</v>
      </c>
      <c r="F674">
        <v>0</v>
      </c>
      <c r="G674" t="s">
        <v>0</v>
      </c>
      <c r="H674" t="s">
        <v>0</v>
      </c>
      <c r="I674" t="s">
        <v>0</v>
      </c>
      <c r="J674" t="s">
        <v>0</v>
      </c>
      <c r="K674" t="s">
        <v>0</v>
      </c>
      <c r="L674">
        <v>0</v>
      </c>
      <c r="M674">
        <v>22</v>
      </c>
      <c r="N674" t="s">
        <v>23</v>
      </c>
      <c r="O674" s="8">
        <v>53.2333</v>
      </c>
      <c r="P674" s="7">
        <v>-132</v>
      </c>
    </row>
    <row r="675" spans="1:16">
      <c r="A675">
        <v>1948</v>
      </c>
      <c r="B675">
        <v>7</v>
      </c>
      <c r="C675">
        <v>90574</v>
      </c>
      <c r="D675">
        <v>5759</v>
      </c>
      <c r="E675">
        <v>18</v>
      </c>
      <c r="F675">
        <v>2.87</v>
      </c>
      <c r="G675" t="s">
        <v>0</v>
      </c>
      <c r="H675">
        <v>134.30000000000001</v>
      </c>
      <c r="I675">
        <v>130</v>
      </c>
      <c r="J675">
        <v>111</v>
      </c>
      <c r="K675">
        <v>157</v>
      </c>
      <c r="L675">
        <v>0</v>
      </c>
      <c r="M675">
        <v>22</v>
      </c>
      <c r="N675" t="s">
        <v>23</v>
      </c>
      <c r="O675" s="8">
        <v>53.2333</v>
      </c>
      <c r="P675" s="7">
        <v>-132</v>
      </c>
    </row>
    <row r="676" spans="1:16">
      <c r="A676">
        <v>1949</v>
      </c>
      <c r="B676">
        <v>6</v>
      </c>
      <c r="C676">
        <v>27976</v>
      </c>
      <c r="D676">
        <v>1690</v>
      </c>
      <c r="E676">
        <v>14</v>
      </c>
      <c r="F676">
        <v>2.04</v>
      </c>
      <c r="G676" t="s">
        <v>0</v>
      </c>
      <c r="H676">
        <v>145.19999999999999</v>
      </c>
      <c r="I676">
        <v>137.30000000000001</v>
      </c>
      <c r="J676">
        <v>132</v>
      </c>
      <c r="K676">
        <v>163</v>
      </c>
      <c r="L676">
        <v>0</v>
      </c>
      <c r="M676">
        <v>22</v>
      </c>
      <c r="N676" t="s">
        <v>23</v>
      </c>
      <c r="O676" s="8">
        <v>53.2333</v>
      </c>
      <c r="P676" s="7">
        <v>-132</v>
      </c>
    </row>
    <row r="677" spans="1:16">
      <c r="A677">
        <v>1950</v>
      </c>
      <c r="B677">
        <v>4</v>
      </c>
      <c r="C677">
        <v>17405</v>
      </c>
      <c r="D677">
        <v>1188</v>
      </c>
      <c r="E677">
        <v>6</v>
      </c>
      <c r="F677">
        <v>1.1399999999999999</v>
      </c>
      <c r="G677" t="s">
        <v>0</v>
      </c>
      <c r="H677">
        <v>146</v>
      </c>
      <c r="I677">
        <v>138.9</v>
      </c>
      <c r="J677">
        <v>137</v>
      </c>
      <c r="K677">
        <v>166</v>
      </c>
      <c r="L677">
        <v>0</v>
      </c>
      <c r="M677">
        <v>22</v>
      </c>
      <c r="N677" t="s">
        <v>23</v>
      </c>
      <c r="O677" s="8">
        <v>53.2333</v>
      </c>
      <c r="P677" s="7">
        <v>-132</v>
      </c>
    </row>
    <row r="678" spans="1:16">
      <c r="A678">
        <v>1951</v>
      </c>
      <c r="B678">
        <v>5</v>
      </c>
      <c r="C678">
        <v>29752</v>
      </c>
      <c r="D678">
        <v>1874</v>
      </c>
      <c r="E678">
        <v>6</v>
      </c>
      <c r="F678">
        <v>4.3600000000000003</v>
      </c>
      <c r="G678" t="s">
        <v>0</v>
      </c>
      <c r="H678">
        <v>155.4</v>
      </c>
      <c r="I678">
        <v>156.5</v>
      </c>
      <c r="J678">
        <v>136</v>
      </c>
      <c r="K678">
        <v>171</v>
      </c>
      <c r="L678">
        <v>0</v>
      </c>
      <c r="M678">
        <v>22</v>
      </c>
      <c r="N678" t="s">
        <v>23</v>
      </c>
      <c r="O678" s="8">
        <v>53.2333</v>
      </c>
      <c r="P678" s="7">
        <v>-132</v>
      </c>
    </row>
    <row r="679" spans="1:16">
      <c r="A679">
        <v>1952</v>
      </c>
      <c r="B679">
        <v>3</v>
      </c>
      <c r="C679">
        <v>15658</v>
      </c>
      <c r="D679">
        <v>1006</v>
      </c>
      <c r="E679">
        <v>12</v>
      </c>
      <c r="F679">
        <v>4.97</v>
      </c>
      <c r="G679" t="s">
        <v>0</v>
      </c>
      <c r="H679">
        <v>145.30000000000001</v>
      </c>
      <c r="I679">
        <v>146.19999999999999</v>
      </c>
      <c r="J679">
        <v>136</v>
      </c>
      <c r="K679">
        <v>154</v>
      </c>
      <c r="L679">
        <v>0</v>
      </c>
      <c r="M679">
        <v>22</v>
      </c>
      <c r="N679" t="s">
        <v>23</v>
      </c>
      <c r="O679" s="8">
        <v>53.2333</v>
      </c>
      <c r="P679" s="7">
        <v>-132</v>
      </c>
    </row>
    <row r="680" spans="1:16">
      <c r="A680">
        <v>1953</v>
      </c>
      <c r="B680">
        <v>10</v>
      </c>
      <c r="C680">
        <v>60105</v>
      </c>
      <c r="D680">
        <v>3894</v>
      </c>
      <c r="E680">
        <v>5</v>
      </c>
      <c r="F680">
        <v>5.86</v>
      </c>
      <c r="G680" t="s">
        <v>0</v>
      </c>
      <c r="H680">
        <v>138.9</v>
      </c>
      <c r="I680">
        <v>138.5</v>
      </c>
      <c r="J680">
        <v>118</v>
      </c>
      <c r="K680">
        <v>163</v>
      </c>
      <c r="L680">
        <v>0</v>
      </c>
      <c r="M680">
        <v>22</v>
      </c>
      <c r="N680" t="s">
        <v>23</v>
      </c>
      <c r="O680" s="8">
        <v>53.2333</v>
      </c>
      <c r="P680" s="7">
        <v>-132</v>
      </c>
    </row>
    <row r="681" spans="1:16">
      <c r="A681">
        <v>1954</v>
      </c>
      <c r="B681">
        <v>10</v>
      </c>
      <c r="C681">
        <v>35799</v>
      </c>
      <c r="D681">
        <v>2296</v>
      </c>
      <c r="E681">
        <v>7</v>
      </c>
      <c r="F681">
        <v>4.57</v>
      </c>
      <c r="G681" t="s">
        <v>0</v>
      </c>
      <c r="H681">
        <v>144.4</v>
      </c>
      <c r="I681">
        <v>146.6</v>
      </c>
      <c r="J681">
        <v>127</v>
      </c>
      <c r="K681">
        <v>176</v>
      </c>
      <c r="L681">
        <v>0</v>
      </c>
      <c r="M681">
        <v>22</v>
      </c>
      <c r="N681" t="s">
        <v>23</v>
      </c>
      <c r="O681" s="8">
        <v>53.2333</v>
      </c>
      <c r="P681" s="7">
        <v>-132</v>
      </c>
    </row>
    <row r="682" spans="1:16">
      <c r="A682">
        <v>1955</v>
      </c>
      <c r="B682">
        <v>0</v>
      </c>
      <c r="C682">
        <v>0</v>
      </c>
      <c r="D682">
        <v>0</v>
      </c>
      <c r="E682">
        <v>0</v>
      </c>
      <c r="F682">
        <v>0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>
        <v>0</v>
      </c>
      <c r="M682">
        <v>22</v>
      </c>
      <c r="N682" t="s">
        <v>23</v>
      </c>
      <c r="O682" s="8">
        <v>53.2333</v>
      </c>
      <c r="P682" s="7">
        <v>-132</v>
      </c>
    </row>
    <row r="683" spans="1:16">
      <c r="A683">
        <v>1956</v>
      </c>
      <c r="B683">
        <v>3</v>
      </c>
      <c r="C683">
        <v>938</v>
      </c>
      <c r="D683">
        <v>64</v>
      </c>
      <c r="E683">
        <v>4</v>
      </c>
      <c r="F683">
        <v>0.55000000000000004</v>
      </c>
      <c r="G683" t="s">
        <v>0</v>
      </c>
      <c r="H683">
        <v>171</v>
      </c>
      <c r="I683">
        <v>170.9</v>
      </c>
      <c r="J683">
        <v>171</v>
      </c>
      <c r="K683">
        <v>171</v>
      </c>
      <c r="L683">
        <v>0</v>
      </c>
      <c r="M683">
        <v>22</v>
      </c>
      <c r="N683" t="s">
        <v>23</v>
      </c>
      <c r="O683" s="8">
        <v>53.2333</v>
      </c>
      <c r="P683" s="7">
        <v>-132</v>
      </c>
    </row>
    <row r="684" spans="1:16">
      <c r="A684">
        <v>1957</v>
      </c>
      <c r="B684">
        <v>2</v>
      </c>
      <c r="C684">
        <v>1115</v>
      </c>
      <c r="D684">
        <v>73</v>
      </c>
      <c r="E684">
        <v>4</v>
      </c>
      <c r="F684">
        <v>4.59</v>
      </c>
      <c r="G684" t="s">
        <v>0</v>
      </c>
      <c r="H684">
        <v>163.5</v>
      </c>
      <c r="I684">
        <v>162.30000000000001</v>
      </c>
      <c r="J684">
        <v>161</v>
      </c>
      <c r="K684">
        <v>166</v>
      </c>
      <c r="L684">
        <v>0</v>
      </c>
      <c r="M684">
        <v>22</v>
      </c>
      <c r="N684" t="s">
        <v>23</v>
      </c>
      <c r="O684" s="8">
        <v>53.2333</v>
      </c>
      <c r="P684" s="7">
        <v>-132</v>
      </c>
    </row>
    <row r="685" spans="1:16">
      <c r="A685">
        <v>1958</v>
      </c>
      <c r="B685">
        <v>1</v>
      </c>
      <c r="C685">
        <v>2681</v>
      </c>
      <c r="D685">
        <v>183</v>
      </c>
      <c r="E685">
        <v>7</v>
      </c>
      <c r="F685">
        <v>5.3</v>
      </c>
      <c r="G685" t="s">
        <v>0</v>
      </c>
      <c r="H685">
        <v>112</v>
      </c>
      <c r="I685">
        <v>112</v>
      </c>
      <c r="J685">
        <v>112</v>
      </c>
      <c r="K685">
        <v>112</v>
      </c>
      <c r="L685">
        <v>0</v>
      </c>
      <c r="M685">
        <v>22</v>
      </c>
      <c r="N685" t="s">
        <v>23</v>
      </c>
      <c r="O685" s="8">
        <v>53.2333</v>
      </c>
      <c r="P685" s="7">
        <v>-132</v>
      </c>
    </row>
    <row r="686" spans="1:16">
      <c r="A686">
        <v>1959</v>
      </c>
      <c r="B686">
        <v>3</v>
      </c>
      <c r="C686">
        <v>28564</v>
      </c>
      <c r="D686">
        <v>1691</v>
      </c>
      <c r="E686">
        <v>9</v>
      </c>
      <c r="F686">
        <v>2.81</v>
      </c>
      <c r="G686" t="s">
        <v>0</v>
      </c>
      <c r="H686">
        <v>108.7</v>
      </c>
      <c r="I686">
        <v>111.1</v>
      </c>
      <c r="J686">
        <v>107</v>
      </c>
      <c r="K686">
        <v>112</v>
      </c>
      <c r="L686">
        <v>0</v>
      </c>
      <c r="M686">
        <v>22</v>
      </c>
      <c r="N686" t="s">
        <v>23</v>
      </c>
      <c r="O686" s="8">
        <v>53.2333</v>
      </c>
      <c r="P686" s="7">
        <v>-132</v>
      </c>
    </row>
    <row r="687" spans="1:16">
      <c r="A687">
        <v>1960</v>
      </c>
      <c r="B687">
        <v>6</v>
      </c>
      <c r="C687">
        <v>26559</v>
      </c>
      <c r="D687">
        <v>1601</v>
      </c>
      <c r="E687">
        <v>18</v>
      </c>
      <c r="F687">
        <v>2.8</v>
      </c>
      <c r="G687" t="s">
        <v>0</v>
      </c>
      <c r="H687">
        <v>122.5</v>
      </c>
      <c r="I687">
        <v>125.5</v>
      </c>
      <c r="J687">
        <v>99</v>
      </c>
      <c r="K687">
        <v>146</v>
      </c>
      <c r="L687">
        <v>0</v>
      </c>
      <c r="M687">
        <v>22</v>
      </c>
      <c r="N687" t="s">
        <v>23</v>
      </c>
      <c r="O687" s="8">
        <v>53.2333</v>
      </c>
      <c r="P687" s="7">
        <v>-132</v>
      </c>
    </row>
    <row r="688" spans="1:16">
      <c r="A688">
        <v>1961</v>
      </c>
      <c r="B688">
        <v>3</v>
      </c>
      <c r="C688">
        <v>100331</v>
      </c>
      <c r="D688">
        <v>6033</v>
      </c>
      <c r="E688">
        <v>30</v>
      </c>
      <c r="F688">
        <v>2.96</v>
      </c>
      <c r="G688">
        <v>9.8000000000000007</v>
      </c>
      <c r="H688">
        <v>129</v>
      </c>
      <c r="I688">
        <v>127.5</v>
      </c>
      <c r="J688">
        <v>125</v>
      </c>
      <c r="K688">
        <v>134</v>
      </c>
      <c r="L688">
        <v>0</v>
      </c>
      <c r="M688">
        <v>22</v>
      </c>
      <c r="N688" t="s">
        <v>23</v>
      </c>
      <c r="O688" s="8">
        <v>53.2333</v>
      </c>
      <c r="P688" s="7">
        <v>-132</v>
      </c>
    </row>
    <row r="689" spans="1:16">
      <c r="A689">
        <v>1962</v>
      </c>
      <c r="B689">
        <v>6</v>
      </c>
      <c r="C689">
        <v>58171</v>
      </c>
      <c r="D689">
        <v>3610</v>
      </c>
      <c r="E689">
        <v>9</v>
      </c>
      <c r="F689">
        <v>1.75</v>
      </c>
      <c r="G689">
        <v>8.8000000000000007</v>
      </c>
      <c r="H689">
        <v>138</v>
      </c>
      <c r="I689">
        <v>135.4</v>
      </c>
      <c r="J689">
        <v>132</v>
      </c>
      <c r="K689">
        <v>141</v>
      </c>
      <c r="L689">
        <v>0</v>
      </c>
      <c r="M689">
        <v>22</v>
      </c>
      <c r="N689" t="s">
        <v>23</v>
      </c>
      <c r="O689" s="8">
        <v>53.2333</v>
      </c>
      <c r="P689" s="7">
        <v>-132</v>
      </c>
    </row>
    <row r="690" spans="1:16">
      <c r="A690">
        <v>1963</v>
      </c>
      <c r="B690">
        <v>4</v>
      </c>
      <c r="C690">
        <v>18110</v>
      </c>
      <c r="D690">
        <v>1197</v>
      </c>
      <c r="E690">
        <v>6</v>
      </c>
      <c r="F690">
        <v>3.05</v>
      </c>
      <c r="G690">
        <v>10.1</v>
      </c>
      <c r="H690">
        <v>135</v>
      </c>
      <c r="I690">
        <v>131.80000000000001</v>
      </c>
      <c r="J690">
        <v>129</v>
      </c>
      <c r="K690">
        <v>148</v>
      </c>
      <c r="L690">
        <v>0</v>
      </c>
      <c r="M690">
        <v>22</v>
      </c>
      <c r="N690" t="s">
        <v>23</v>
      </c>
      <c r="O690" s="8">
        <v>53.2333</v>
      </c>
      <c r="P690" s="7">
        <v>-132</v>
      </c>
    </row>
    <row r="691" spans="1:16">
      <c r="A691">
        <v>1964</v>
      </c>
      <c r="B691">
        <v>4</v>
      </c>
      <c r="C691">
        <v>39527</v>
      </c>
      <c r="D691">
        <v>2651</v>
      </c>
      <c r="E691">
        <v>15</v>
      </c>
      <c r="F691">
        <v>3.14</v>
      </c>
      <c r="G691">
        <v>7.6</v>
      </c>
      <c r="H691">
        <v>111</v>
      </c>
      <c r="I691">
        <v>104.6</v>
      </c>
      <c r="J691">
        <v>102</v>
      </c>
      <c r="K691">
        <v>131</v>
      </c>
      <c r="L691">
        <v>0</v>
      </c>
      <c r="M691">
        <v>22</v>
      </c>
      <c r="N691" t="s">
        <v>23</v>
      </c>
      <c r="O691" s="8">
        <v>53.2333</v>
      </c>
      <c r="P691" s="7">
        <v>-132</v>
      </c>
    </row>
    <row r="692" spans="1:16">
      <c r="A692">
        <v>1965</v>
      </c>
      <c r="B692">
        <v>1</v>
      </c>
      <c r="C692">
        <v>264</v>
      </c>
      <c r="D692">
        <v>18</v>
      </c>
      <c r="E692">
        <v>5</v>
      </c>
      <c r="F692">
        <v>1.34</v>
      </c>
      <c r="G692">
        <v>9.5</v>
      </c>
      <c r="H692">
        <v>140</v>
      </c>
      <c r="I692">
        <v>139.80000000000001</v>
      </c>
      <c r="J692">
        <v>140</v>
      </c>
      <c r="K692">
        <v>140</v>
      </c>
      <c r="L692">
        <v>0</v>
      </c>
      <c r="M692">
        <v>22</v>
      </c>
      <c r="N692" t="s">
        <v>23</v>
      </c>
      <c r="O692" s="8">
        <v>53.2333</v>
      </c>
      <c r="P692" s="7">
        <v>-132</v>
      </c>
    </row>
    <row r="693" spans="1:16">
      <c r="A693">
        <v>1966</v>
      </c>
      <c r="B693">
        <v>2</v>
      </c>
      <c r="C693">
        <v>6924</v>
      </c>
      <c r="D693">
        <v>457</v>
      </c>
      <c r="E693">
        <v>18</v>
      </c>
      <c r="F693">
        <v>4.72</v>
      </c>
      <c r="G693">
        <v>9.6</v>
      </c>
      <c r="H693">
        <v>132</v>
      </c>
      <c r="I693">
        <v>131.5</v>
      </c>
      <c r="J693">
        <v>131</v>
      </c>
      <c r="K693">
        <v>133</v>
      </c>
      <c r="L693">
        <v>0</v>
      </c>
      <c r="M693">
        <v>22</v>
      </c>
      <c r="N693" t="s">
        <v>23</v>
      </c>
      <c r="O693" s="8">
        <v>53.2333</v>
      </c>
      <c r="P693" s="7">
        <v>-132</v>
      </c>
    </row>
    <row r="694" spans="1:16">
      <c r="A694">
        <v>1967</v>
      </c>
      <c r="B694">
        <v>3</v>
      </c>
      <c r="C694">
        <v>4878</v>
      </c>
      <c r="D694">
        <v>311</v>
      </c>
      <c r="E694">
        <v>15</v>
      </c>
      <c r="F694">
        <v>1.35</v>
      </c>
      <c r="G694">
        <v>9.4</v>
      </c>
      <c r="H694">
        <v>127.7</v>
      </c>
      <c r="I694">
        <v>136.5</v>
      </c>
      <c r="J694">
        <v>114</v>
      </c>
      <c r="K694">
        <v>155</v>
      </c>
      <c r="L694">
        <v>0</v>
      </c>
      <c r="M694">
        <v>22</v>
      </c>
      <c r="N694" t="s">
        <v>23</v>
      </c>
      <c r="O694" s="8">
        <v>53.2333</v>
      </c>
      <c r="P694" s="7">
        <v>-132</v>
      </c>
    </row>
    <row r="695" spans="1:16">
      <c r="A695">
        <v>1968</v>
      </c>
      <c r="B695">
        <v>4</v>
      </c>
      <c r="C695">
        <v>9032</v>
      </c>
      <c r="D695">
        <v>593</v>
      </c>
      <c r="E695">
        <v>16</v>
      </c>
      <c r="F695">
        <v>2.15</v>
      </c>
      <c r="G695">
        <v>9.4</v>
      </c>
      <c r="H695">
        <v>137</v>
      </c>
      <c r="I695">
        <v>136</v>
      </c>
      <c r="J695">
        <v>129</v>
      </c>
      <c r="K695">
        <v>149</v>
      </c>
      <c r="L695">
        <v>0</v>
      </c>
      <c r="M695">
        <v>22</v>
      </c>
      <c r="N695" t="s">
        <v>23</v>
      </c>
      <c r="O695" s="8">
        <v>53.2333</v>
      </c>
      <c r="P695" s="7">
        <v>-132</v>
      </c>
    </row>
    <row r="696" spans="1:16">
      <c r="A696">
        <v>1969</v>
      </c>
      <c r="B696">
        <v>6</v>
      </c>
      <c r="C696">
        <v>35498</v>
      </c>
      <c r="D696">
        <v>2423</v>
      </c>
      <c r="E696">
        <v>27</v>
      </c>
      <c r="F696">
        <v>2.93</v>
      </c>
      <c r="G696">
        <v>10.7</v>
      </c>
      <c r="H696">
        <v>151.80000000000001</v>
      </c>
      <c r="I696">
        <v>151.80000000000001</v>
      </c>
      <c r="J696">
        <v>128</v>
      </c>
      <c r="K696">
        <v>174</v>
      </c>
      <c r="L696">
        <v>0</v>
      </c>
      <c r="M696">
        <v>22</v>
      </c>
      <c r="N696" t="s">
        <v>23</v>
      </c>
      <c r="O696" s="8">
        <v>53.2333</v>
      </c>
      <c r="P696" s="7">
        <v>-132</v>
      </c>
    </row>
    <row r="697" spans="1:16">
      <c r="A697">
        <v>1970</v>
      </c>
      <c r="B697">
        <v>9</v>
      </c>
      <c r="C697">
        <v>47526</v>
      </c>
      <c r="D697">
        <v>3244</v>
      </c>
      <c r="E697">
        <v>20</v>
      </c>
      <c r="F697">
        <v>2.5</v>
      </c>
      <c r="G697">
        <v>9</v>
      </c>
      <c r="H697">
        <v>130.4</v>
      </c>
      <c r="I697">
        <v>128.6</v>
      </c>
      <c r="J697">
        <v>108</v>
      </c>
      <c r="K697">
        <v>152</v>
      </c>
      <c r="L697">
        <v>0</v>
      </c>
      <c r="M697">
        <v>22</v>
      </c>
      <c r="N697" t="s">
        <v>23</v>
      </c>
      <c r="O697" s="8">
        <v>53.2333</v>
      </c>
      <c r="P697" s="7">
        <v>-132</v>
      </c>
    </row>
    <row r="698" spans="1:16">
      <c r="A698">
        <v>1971</v>
      </c>
      <c r="B698">
        <v>23</v>
      </c>
      <c r="C698">
        <v>80319</v>
      </c>
      <c r="D698">
        <v>5211</v>
      </c>
      <c r="E698">
        <v>24</v>
      </c>
      <c r="F698">
        <v>2.3199999999999998</v>
      </c>
      <c r="G698">
        <v>10</v>
      </c>
      <c r="H698">
        <v>161.30000000000001</v>
      </c>
      <c r="I698">
        <v>155.69999999999999</v>
      </c>
      <c r="J698">
        <v>119</v>
      </c>
      <c r="K698">
        <v>197</v>
      </c>
      <c r="L698">
        <v>0</v>
      </c>
      <c r="M698">
        <v>22</v>
      </c>
      <c r="N698" t="s">
        <v>23</v>
      </c>
      <c r="O698" s="8">
        <v>53.2333</v>
      </c>
      <c r="P698" s="7">
        <v>-132</v>
      </c>
    </row>
    <row r="699" spans="1:16">
      <c r="A699">
        <v>1972</v>
      </c>
      <c r="B699">
        <v>13</v>
      </c>
      <c r="C699">
        <v>165115</v>
      </c>
      <c r="D699">
        <v>10209</v>
      </c>
      <c r="E699">
        <v>17</v>
      </c>
      <c r="F699">
        <v>1.95</v>
      </c>
      <c r="G699">
        <v>10.5</v>
      </c>
      <c r="H699">
        <v>151.30000000000001</v>
      </c>
      <c r="I699">
        <v>162.1</v>
      </c>
      <c r="J699">
        <v>120</v>
      </c>
      <c r="K699">
        <v>183</v>
      </c>
      <c r="L699">
        <v>0</v>
      </c>
      <c r="M699">
        <v>22</v>
      </c>
      <c r="N699" t="s">
        <v>23</v>
      </c>
      <c r="O699" s="8">
        <v>53.2333</v>
      </c>
      <c r="P699" s="7">
        <v>-132</v>
      </c>
    </row>
    <row r="700" spans="1:16">
      <c r="A700">
        <v>1973</v>
      </c>
      <c r="B700">
        <v>11</v>
      </c>
      <c r="C700">
        <v>31484</v>
      </c>
      <c r="D700">
        <v>2149</v>
      </c>
      <c r="E700">
        <v>21</v>
      </c>
      <c r="F700">
        <v>2.74</v>
      </c>
      <c r="G700">
        <v>9.1999999999999993</v>
      </c>
      <c r="H700">
        <v>130.19999999999999</v>
      </c>
      <c r="I700">
        <v>124</v>
      </c>
      <c r="J700">
        <v>98</v>
      </c>
      <c r="K700">
        <v>173</v>
      </c>
      <c r="L700">
        <v>0</v>
      </c>
      <c r="M700">
        <v>22</v>
      </c>
      <c r="N700" t="s">
        <v>23</v>
      </c>
      <c r="O700" s="8">
        <v>53.2333</v>
      </c>
      <c r="P700" s="7">
        <v>-132</v>
      </c>
    </row>
    <row r="701" spans="1:16">
      <c r="A701">
        <v>1974</v>
      </c>
      <c r="B701">
        <v>11</v>
      </c>
      <c r="C701">
        <v>54949</v>
      </c>
      <c r="D701">
        <v>3429</v>
      </c>
      <c r="E701">
        <v>26</v>
      </c>
      <c r="F701">
        <v>2.2200000000000002</v>
      </c>
      <c r="G701">
        <v>9.1999999999999993</v>
      </c>
      <c r="H701">
        <v>127.4</v>
      </c>
      <c r="I701">
        <v>128</v>
      </c>
      <c r="J701">
        <v>92</v>
      </c>
      <c r="K701">
        <v>164</v>
      </c>
      <c r="L701">
        <v>0</v>
      </c>
      <c r="M701">
        <v>22</v>
      </c>
      <c r="N701" t="s">
        <v>23</v>
      </c>
      <c r="O701" s="8">
        <v>53.2333</v>
      </c>
      <c r="P701" s="7">
        <v>-132</v>
      </c>
    </row>
    <row r="702" spans="1:16">
      <c r="A702">
        <v>1975</v>
      </c>
      <c r="B702">
        <v>9</v>
      </c>
      <c r="C702">
        <v>98588</v>
      </c>
      <c r="D702">
        <v>6306</v>
      </c>
      <c r="E702">
        <v>32</v>
      </c>
      <c r="F702">
        <v>2.81</v>
      </c>
      <c r="G702">
        <v>9.1</v>
      </c>
      <c r="H702">
        <v>142.1</v>
      </c>
      <c r="I702">
        <v>140.1</v>
      </c>
      <c r="J702">
        <v>122</v>
      </c>
      <c r="K702">
        <v>157</v>
      </c>
      <c r="L702">
        <v>0</v>
      </c>
      <c r="M702">
        <v>22</v>
      </c>
      <c r="N702" t="s">
        <v>23</v>
      </c>
      <c r="O702" s="8">
        <v>53.2333</v>
      </c>
      <c r="P702" s="7">
        <v>-132</v>
      </c>
    </row>
    <row r="703" spans="1:16">
      <c r="A703">
        <v>1976</v>
      </c>
      <c r="B703">
        <v>6</v>
      </c>
      <c r="C703">
        <v>114784</v>
      </c>
      <c r="D703">
        <v>7631</v>
      </c>
      <c r="E703">
        <v>42</v>
      </c>
      <c r="F703">
        <v>2.83</v>
      </c>
      <c r="G703">
        <v>8.9</v>
      </c>
      <c r="H703">
        <v>156.5</v>
      </c>
      <c r="I703">
        <v>158.1</v>
      </c>
      <c r="J703">
        <v>151</v>
      </c>
      <c r="K703">
        <v>160</v>
      </c>
      <c r="L703">
        <v>0</v>
      </c>
      <c r="M703">
        <v>22</v>
      </c>
      <c r="N703" t="s">
        <v>23</v>
      </c>
      <c r="O703" s="8">
        <v>53.2333</v>
      </c>
      <c r="P703" s="7">
        <v>-132</v>
      </c>
    </row>
    <row r="704" spans="1:16">
      <c r="A704">
        <v>1977</v>
      </c>
      <c r="B704">
        <v>9</v>
      </c>
      <c r="C704">
        <v>137977</v>
      </c>
      <c r="D704">
        <v>8775</v>
      </c>
      <c r="E704">
        <v>15</v>
      </c>
      <c r="F704">
        <v>3.78</v>
      </c>
      <c r="G704">
        <v>9.1999999999999993</v>
      </c>
      <c r="H704">
        <v>131.1</v>
      </c>
      <c r="I704">
        <v>130</v>
      </c>
      <c r="J704">
        <v>112</v>
      </c>
      <c r="K704">
        <v>172</v>
      </c>
      <c r="L704">
        <v>0</v>
      </c>
      <c r="M704">
        <v>22</v>
      </c>
      <c r="N704" t="s">
        <v>23</v>
      </c>
      <c r="O704" s="8">
        <v>53.2333</v>
      </c>
      <c r="P704" s="7">
        <v>-132</v>
      </c>
    </row>
    <row r="705" spans="1:16">
      <c r="A705">
        <v>1978</v>
      </c>
      <c r="B705">
        <v>13</v>
      </c>
      <c r="C705">
        <v>228295</v>
      </c>
      <c r="D705">
        <v>14841</v>
      </c>
      <c r="E705">
        <v>9</v>
      </c>
      <c r="F705">
        <v>2.08</v>
      </c>
      <c r="G705">
        <v>9.4</v>
      </c>
      <c r="H705">
        <v>128</v>
      </c>
      <c r="I705">
        <v>123.5</v>
      </c>
      <c r="J705">
        <v>107</v>
      </c>
      <c r="K705">
        <v>157</v>
      </c>
      <c r="L705">
        <v>0</v>
      </c>
      <c r="M705">
        <v>22</v>
      </c>
      <c r="N705" t="s">
        <v>23</v>
      </c>
      <c r="O705" s="8">
        <v>53.2333</v>
      </c>
      <c r="P705" s="7">
        <v>-132</v>
      </c>
    </row>
    <row r="706" spans="1:16">
      <c r="A706">
        <v>1979</v>
      </c>
      <c r="B706">
        <v>12</v>
      </c>
      <c r="C706">
        <v>68541</v>
      </c>
      <c r="D706">
        <v>4435</v>
      </c>
      <c r="E706">
        <v>20</v>
      </c>
      <c r="F706">
        <v>2.58</v>
      </c>
      <c r="G706">
        <v>8.6999999999999993</v>
      </c>
      <c r="H706">
        <v>128.80000000000001</v>
      </c>
      <c r="I706">
        <v>127.8</v>
      </c>
      <c r="J706">
        <v>124</v>
      </c>
      <c r="K706">
        <v>133</v>
      </c>
      <c r="L706">
        <v>0</v>
      </c>
      <c r="M706">
        <v>22</v>
      </c>
      <c r="N706" t="s">
        <v>23</v>
      </c>
      <c r="O706" s="8">
        <v>53.2333</v>
      </c>
      <c r="P706" s="7">
        <v>-132</v>
      </c>
    </row>
    <row r="707" spans="1:16">
      <c r="A707">
        <v>1980</v>
      </c>
      <c r="B707">
        <v>0</v>
      </c>
      <c r="C707">
        <v>0</v>
      </c>
      <c r="D707">
        <v>0</v>
      </c>
      <c r="E707">
        <v>0</v>
      </c>
      <c r="F707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>
        <v>0</v>
      </c>
      <c r="M707">
        <v>22</v>
      </c>
      <c r="N707" t="s">
        <v>23</v>
      </c>
      <c r="O707" s="8">
        <v>53.2333</v>
      </c>
      <c r="P707" s="7">
        <v>-132</v>
      </c>
    </row>
    <row r="708" spans="1:16">
      <c r="A708">
        <v>1981</v>
      </c>
      <c r="B708">
        <v>31</v>
      </c>
      <c r="C708">
        <v>38262</v>
      </c>
      <c r="D708">
        <v>2401</v>
      </c>
      <c r="E708">
        <v>12</v>
      </c>
      <c r="F708">
        <v>2.14</v>
      </c>
      <c r="G708">
        <v>9.4</v>
      </c>
      <c r="H708">
        <v>130.69999999999999</v>
      </c>
      <c r="I708">
        <v>120.2</v>
      </c>
      <c r="J708">
        <v>106</v>
      </c>
      <c r="K708">
        <v>172</v>
      </c>
      <c r="L708">
        <v>0</v>
      </c>
      <c r="M708">
        <v>22</v>
      </c>
      <c r="N708" t="s">
        <v>23</v>
      </c>
      <c r="O708" s="8">
        <v>53.2333</v>
      </c>
      <c r="P708" s="7">
        <v>-132</v>
      </c>
    </row>
    <row r="709" spans="1:16">
      <c r="A709">
        <v>1982</v>
      </c>
      <c r="B709">
        <v>6</v>
      </c>
      <c r="C709">
        <v>15111</v>
      </c>
      <c r="D709">
        <v>910</v>
      </c>
      <c r="E709">
        <v>44</v>
      </c>
      <c r="F709">
        <v>1.96</v>
      </c>
      <c r="G709">
        <v>9.6999999999999993</v>
      </c>
      <c r="H709">
        <v>131.30000000000001</v>
      </c>
      <c r="I709">
        <v>131.69999999999999</v>
      </c>
      <c r="J709">
        <v>100</v>
      </c>
      <c r="K709">
        <v>167</v>
      </c>
      <c r="L709">
        <v>0</v>
      </c>
      <c r="M709">
        <v>22</v>
      </c>
      <c r="N709" t="s">
        <v>23</v>
      </c>
      <c r="O709" s="8">
        <v>53.2333</v>
      </c>
      <c r="P709" s="7">
        <v>-132</v>
      </c>
    </row>
    <row r="710" spans="1:16">
      <c r="A710">
        <v>1983</v>
      </c>
      <c r="B710">
        <v>12</v>
      </c>
      <c r="C710">
        <v>27128</v>
      </c>
      <c r="D710">
        <v>1705</v>
      </c>
      <c r="E710">
        <v>9</v>
      </c>
      <c r="F710">
        <v>2.12</v>
      </c>
      <c r="G710">
        <v>9.6</v>
      </c>
      <c r="H710">
        <v>118.7</v>
      </c>
      <c r="I710">
        <v>120.8</v>
      </c>
      <c r="J710">
        <v>106</v>
      </c>
      <c r="K710">
        <v>131</v>
      </c>
      <c r="L710">
        <v>0</v>
      </c>
      <c r="M710">
        <v>22</v>
      </c>
      <c r="N710" t="s">
        <v>23</v>
      </c>
      <c r="O710" s="8">
        <v>53.2333</v>
      </c>
      <c r="P710" s="7">
        <v>-132</v>
      </c>
    </row>
    <row r="711" spans="1:16">
      <c r="A711">
        <v>1984</v>
      </c>
      <c r="B711">
        <v>35</v>
      </c>
      <c r="C711">
        <v>109173</v>
      </c>
      <c r="D711">
        <v>6860</v>
      </c>
      <c r="E711">
        <v>11</v>
      </c>
      <c r="F711">
        <v>1.86</v>
      </c>
      <c r="G711">
        <v>9.1999999999999993</v>
      </c>
      <c r="H711">
        <v>124.6</v>
      </c>
      <c r="I711">
        <v>123.2</v>
      </c>
      <c r="J711">
        <v>96</v>
      </c>
      <c r="K711">
        <v>135</v>
      </c>
      <c r="L711">
        <v>0</v>
      </c>
      <c r="M711">
        <v>22</v>
      </c>
      <c r="N711" t="s">
        <v>23</v>
      </c>
      <c r="O711" s="8">
        <v>53.2333</v>
      </c>
      <c r="P711" s="7">
        <v>-132</v>
      </c>
    </row>
    <row r="712" spans="1:16">
      <c r="A712">
        <v>1985</v>
      </c>
      <c r="B712">
        <v>11</v>
      </c>
      <c r="C712">
        <v>18688</v>
      </c>
      <c r="D712">
        <v>1195</v>
      </c>
      <c r="E712">
        <v>13</v>
      </c>
      <c r="F712">
        <v>1.56</v>
      </c>
      <c r="G712">
        <v>8.4</v>
      </c>
      <c r="H712">
        <v>137.30000000000001</v>
      </c>
      <c r="I712">
        <v>137.30000000000001</v>
      </c>
      <c r="J712">
        <v>136</v>
      </c>
      <c r="K712">
        <v>150</v>
      </c>
      <c r="L712">
        <v>0</v>
      </c>
      <c r="M712">
        <v>22</v>
      </c>
      <c r="N712" t="s">
        <v>23</v>
      </c>
      <c r="O712" s="8">
        <v>53.2333</v>
      </c>
      <c r="P712" s="7">
        <v>-132</v>
      </c>
    </row>
    <row r="713" spans="1:16">
      <c r="A713">
        <v>1986</v>
      </c>
      <c r="B713">
        <v>30</v>
      </c>
      <c r="C713">
        <v>197751</v>
      </c>
      <c r="D713">
        <v>13395</v>
      </c>
      <c r="E713">
        <v>22</v>
      </c>
      <c r="F713">
        <v>0.56000000000000005</v>
      </c>
      <c r="G713">
        <v>8.1999999999999993</v>
      </c>
      <c r="H713">
        <v>126.7</v>
      </c>
      <c r="I713">
        <v>124.1</v>
      </c>
      <c r="J713">
        <v>107</v>
      </c>
      <c r="K713">
        <v>141</v>
      </c>
      <c r="L713">
        <v>0</v>
      </c>
      <c r="M713">
        <v>22</v>
      </c>
      <c r="N713" t="s">
        <v>23</v>
      </c>
      <c r="O713" s="8">
        <v>53.2333</v>
      </c>
      <c r="P713" s="7">
        <v>-132</v>
      </c>
    </row>
    <row r="714" spans="1:16">
      <c r="A714">
        <v>1987</v>
      </c>
      <c r="B714">
        <v>16</v>
      </c>
      <c r="C714">
        <v>54758</v>
      </c>
      <c r="D714">
        <v>3615</v>
      </c>
      <c r="E714">
        <v>18</v>
      </c>
      <c r="F714">
        <v>0.82</v>
      </c>
      <c r="G714">
        <v>8.6999999999999993</v>
      </c>
      <c r="H714">
        <v>119</v>
      </c>
      <c r="I714">
        <v>102.1</v>
      </c>
      <c r="J714">
        <v>81</v>
      </c>
      <c r="K714">
        <v>157</v>
      </c>
      <c r="L714">
        <v>0</v>
      </c>
      <c r="M714">
        <v>22</v>
      </c>
      <c r="N714" t="s">
        <v>23</v>
      </c>
      <c r="O714" s="8">
        <v>53.2333</v>
      </c>
      <c r="P714" s="7">
        <v>-132</v>
      </c>
    </row>
    <row r="715" spans="1:16">
      <c r="A715">
        <v>1988</v>
      </c>
      <c r="B715">
        <v>3</v>
      </c>
      <c r="C715">
        <v>7724</v>
      </c>
      <c r="D715">
        <v>450</v>
      </c>
      <c r="E715">
        <v>2</v>
      </c>
      <c r="F715">
        <v>1.27</v>
      </c>
      <c r="G715">
        <v>10.4</v>
      </c>
      <c r="H715">
        <v>120</v>
      </c>
      <c r="I715">
        <v>120</v>
      </c>
      <c r="J715">
        <v>120</v>
      </c>
      <c r="K715">
        <v>120</v>
      </c>
      <c r="L715">
        <v>0</v>
      </c>
      <c r="M715">
        <v>22</v>
      </c>
      <c r="N715" t="s">
        <v>23</v>
      </c>
      <c r="O715" s="8">
        <v>53.2333</v>
      </c>
      <c r="P715" s="7">
        <v>-132</v>
      </c>
    </row>
    <row r="716" spans="1:16">
      <c r="A716">
        <v>1989</v>
      </c>
      <c r="B716">
        <v>0</v>
      </c>
      <c r="C716">
        <v>0</v>
      </c>
      <c r="D716">
        <v>0</v>
      </c>
      <c r="E716">
        <v>0</v>
      </c>
      <c r="F716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>
        <v>0</v>
      </c>
      <c r="M716">
        <v>22</v>
      </c>
      <c r="N716" t="s">
        <v>23</v>
      </c>
      <c r="O716" s="8">
        <v>53.2333</v>
      </c>
      <c r="P716" s="7">
        <v>-132</v>
      </c>
    </row>
    <row r="717" spans="1:16">
      <c r="A717">
        <v>1990</v>
      </c>
      <c r="B717">
        <v>0</v>
      </c>
      <c r="C717">
        <v>0</v>
      </c>
      <c r="D717">
        <v>0</v>
      </c>
      <c r="E717">
        <v>0</v>
      </c>
      <c r="F717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>
        <v>0</v>
      </c>
      <c r="M717">
        <v>22</v>
      </c>
      <c r="N717" t="s">
        <v>23</v>
      </c>
      <c r="O717" s="8">
        <v>53.2333</v>
      </c>
      <c r="P717" s="7">
        <v>-132</v>
      </c>
    </row>
    <row r="718" spans="1:16">
      <c r="A718">
        <v>1991</v>
      </c>
      <c r="B718">
        <v>0</v>
      </c>
      <c r="C718">
        <v>0</v>
      </c>
      <c r="D718">
        <v>0</v>
      </c>
      <c r="E718">
        <v>0</v>
      </c>
      <c r="F718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>
        <v>0</v>
      </c>
      <c r="M718">
        <v>22</v>
      </c>
      <c r="N718" t="s">
        <v>23</v>
      </c>
      <c r="O718" s="8">
        <v>53.2333</v>
      </c>
      <c r="P718" s="7">
        <v>-132</v>
      </c>
    </row>
    <row r="719" spans="1:16">
      <c r="A719">
        <v>1992</v>
      </c>
      <c r="B719">
        <v>0</v>
      </c>
      <c r="C719">
        <v>0</v>
      </c>
      <c r="D719">
        <v>0</v>
      </c>
      <c r="E719">
        <v>0</v>
      </c>
      <c r="F719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>
        <v>0</v>
      </c>
      <c r="M719">
        <v>22</v>
      </c>
      <c r="N719" t="s">
        <v>23</v>
      </c>
      <c r="O719" s="8">
        <v>53.2333</v>
      </c>
      <c r="P719" s="7">
        <v>-132</v>
      </c>
    </row>
    <row r="720" spans="1:16">
      <c r="A720">
        <v>1993</v>
      </c>
      <c r="B720">
        <v>0</v>
      </c>
      <c r="C720">
        <v>0</v>
      </c>
      <c r="D720">
        <v>0</v>
      </c>
      <c r="E720">
        <v>0</v>
      </c>
      <c r="F720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>
        <v>0</v>
      </c>
      <c r="M720">
        <v>22</v>
      </c>
      <c r="N720" t="s">
        <v>23</v>
      </c>
      <c r="O720" s="8">
        <v>53.2333</v>
      </c>
      <c r="P720" s="7">
        <v>-132</v>
      </c>
    </row>
    <row r="721" spans="1:16">
      <c r="A721">
        <v>1994</v>
      </c>
      <c r="B721">
        <v>0</v>
      </c>
      <c r="C721">
        <v>0</v>
      </c>
      <c r="D721">
        <v>0</v>
      </c>
      <c r="E721">
        <v>0</v>
      </c>
      <c r="F721">
        <v>0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>
        <v>0</v>
      </c>
      <c r="M721">
        <v>22</v>
      </c>
      <c r="N721" t="s">
        <v>23</v>
      </c>
      <c r="O721" s="8">
        <v>53.2333</v>
      </c>
      <c r="P721" s="7">
        <v>-132</v>
      </c>
    </row>
    <row r="722" spans="1:16">
      <c r="A722">
        <v>1995</v>
      </c>
      <c r="B722">
        <v>0</v>
      </c>
      <c r="C722">
        <v>0</v>
      </c>
      <c r="D722">
        <v>0</v>
      </c>
      <c r="E722">
        <v>0</v>
      </c>
      <c r="F722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>
        <v>0</v>
      </c>
      <c r="M722">
        <v>22</v>
      </c>
      <c r="N722" t="s">
        <v>23</v>
      </c>
      <c r="O722" s="8">
        <v>53.2333</v>
      </c>
      <c r="P722" s="7">
        <v>-132</v>
      </c>
    </row>
    <row r="723" spans="1:16">
      <c r="A723">
        <v>1996</v>
      </c>
      <c r="B723">
        <v>7</v>
      </c>
      <c r="C723">
        <v>0</v>
      </c>
      <c r="D723">
        <v>0</v>
      </c>
      <c r="E723">
        <v>10</v>
      </c>
      <c r="F723">
        <v>1.97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>
        <v>0</v>
      </c>
      <c r="M723">
        <v>22</v>
      </c>
      <c r="N723" t="s">
        <v>23</v>
      </c>
      <c r="O723" s="8">
        <v>53.2333</v>
      </c>
      <c r="P723" s="7">
        <v>-132</v>
      </c>
    </row>
    <row r="724" spans="1:16">
      <c r="A724">
        <v>1997</v>
      </c>
      <c r="B724">
        <v>0</v>
      </c>
      <c r="C724">
        <v>0</v>
      </c>
      <c r="D724">
        <v>0</v>
      </c>
      <c r="E724">
        <v>0</v>
      </c>
      <c r="F724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>
        <v>0</v>
      </c>
      <c r="M724">
        <v>22</v>
      </c>
      <c r="N724" t="s">
        <v>23</v>
      </c>
      <c r="O724" s="8">
        <v>53.2333</v>
      </c>
      <c r="P724" s="7">
        <v>-132</v>
      </c>
    </row>
    <row r="725" spans="1:16">
      <c r="A725">
        <v>1998</v>
      </c>
      <c r="B725">
        <v>0</v>
      </c>
      <c r="C725">
        <v>0</v>
      </c>
      <c r="D725">
        <v>0</v>
      </c>
      <c r="E725">
        <v>0</v>
      </c>
      <c r="F725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>
        <v>0</v>
      </c>
      <c r="M725">
        <v>22</v>
      </c>
      <c r="N725" t="s">
        <v>23</v>
      </c>
      <c r="O725" s="8">
        <v>53.2333</v>
      </c>
      <c r="P725" s="7">
        <v>-132</v>
      </c>
    </row>
    <row r="726" spans="1:16">
      <c r="A726">
        <v>1999</v>
      </c>
      <c r="B726">
        <v>0</v>
      </c>
      <c r="C726">
        <v>0</v>
      </c>
      <c r="D726">
        <v>0</v>
      </c>
      <c r="E726">
        <v>0</v>
      </c>
      <c r="F726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>
        <v>0</v>
      </c>
      <c r="M726">
        <v>22</v>
      </c>
      <c r="N726" t="s">
        <v>23</v>
      </c>
      <c r="O726" s="8">
        <v>53.2333</v>
      </c>
      <c r="P726" s="7">
        <v>-132</v>
      </c>
    </row>
    <row r="727" spans="1:16">
      <c r="A727">
        <v>2000</v>
      </c>
      <c r="B727">
        <v>0</v>
      </c>
      <c r="C727">
        <v>0</v>
      </c>
      <c r="D727">
        <v>0</v>
      </c>
      <c r="E727">
        <v>0</v>
      </c>
      <c r="F727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>
        <v>0</v>
      </c>
      <c r="M727">
        <v>22</v>
      </c>
      <c r="N727" t="s">
        <v>23</v>
      </c>
      <c r="O727" s="8">
        <v>53.2333</v>
      </c>
      <c r="P727" s="7">
        <v>-132</v>
      </c>
    </row>
    <row r="728" spans="1:16">
      <c r="A728">
        <v>2001</v>
      </c>
      <c r="B728">
        <v>0</v>
      </c>
      <c r="C728">
        <v>0</v>
      </c>
      <c r="D728">
        <v>0</v>
      </c>
      <c r="E728">
        <v>0</v>
      </c>
      <c r="F728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>
        <v>0</v>
      </c>
      <c r="M728">
        <v>22</v>
      </c>
      <c r="N728" t="s">
        <v>23</v>
      </c>
      <c r="O728" s="8">
        <v>53.2333</v>
      </c>
      <c r="P728" s="7">
        <v>-132</v>
      </c>
    </row>
    <row r="729" spans="1:16">
      <c r="A729">
        <v>2002</v>
      </c>
      <c r="B729">
        <v>0</v>
      </c>
      <c r="C729">
        <v>0</v>
      </c>
      <c r="D729">
        <v>0</v>
      </c>
      <c r="E729">
        <v>0</v>
      </c>
      <c r="F729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>
        <v>0</v>
      </c>
      <c r="M729">
        <v>22</v>
      </c>
      <c r="N729" t="s">
        <v>23</v>
      </c>
      <c r="O729" s="8">
        <v>53.2333</v>
      </c>
      <c r="P729" s="7">
        <v>-132</v>
      </c>
    </row>
    <row r="730" spans="1:16">
      <c r="A730">
        <v>2003</v>
      </c>
      <c r="B730">
        <v>0</v>
      </c>
      <c r="C730">
        <v>0</v>
      </c>
      <c r="D730">
        <v>0</v>
      </c>
      <c r="E730">
        <v>0</v>
      </c>
      <c r="F730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>
        <v>0</v>
      </c>
      <c r="M730">
        <v>22</v>
      </c>
      <c r="N730" t="s">
        <v>23</v>
      </c>
      <c r="O730" s="8">
        <v>53.2333</v>
      </c>
      <c r="P730" s="7">
        <v>-132</v>
      </c>
    </row>
    <row r="731" spans="1:16">
      <c r="A731">
        <v>2004</v>
      </c>
      <c r="B731">
        <v>1</v>
      </c>
      <c r="C731">
        <v>29301</v>
      </c>
      <c r="D731">
        <v>2000</v>
      </c>
      <c r="E731">
        <v>52</v>
      </c>
      <c r="F731">
        <v>1.08</v>
      </c>
      <c r="G731">
        <v>7.1</v>
      </c>
      <c r="H731">
        <v>74</v>
      </c>
      <c r="I731">
        <v>74</v>
      </c>
      <c r="J731">
        <v>74</v>
      </c>
      <c r="K731">
        <v>74</v>
      </c>
      <c r="L731">
        <v>100</v>
      </c>
      <c r="M731">
        <v>22</v>
      </c>
      <c r="N731" t="s">
        <v>23</v>
      </c>
      <c r="O731" s="8">
        <v>53.2333</v>
      </c>
      <c r="P731" s="7">
        <v>-132</v>
      </c>
    </row>
    <row r="732" spans="1:16">
      <c r="A732">
        <v>2005</v>
      </c>
      <c r="B732">
        <v>0</v>
      </c>
      <c r="C732">
        <v>0</v>
      </c>
      <c r="D732">
        <v>0</v>
      </c>
      <c r="E732">
        <v>0</v>
      </c>
      <c r="F732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>
        <v>0</v>
      </c>
      <c r="M732">
        <v>22</v>
      </c>
      <c r="N732" t="s">
        <v>23</v>
      </c>
      <c r="O732" s="8">
        <v>53.2333</v>
      </c>
      <c r="P732" s="7">
        <v>-132</v>
      </c>
    </row>
    <row r="733" spans="1:16">
      <c r="A733">
        <v>2006</v>
      </c>
      <c r="B733">
        <v>0</v>
      </c>
      <c r="C733">
        <v>0</v>
      </c>
      <c r="D733">
        <v>0</v>
      </c>
      <c r="E733">
        <v>0</v>
      </c>
      <c r="F733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>
        <v>0</v>
      </c>
      <c r="M733">
        <v>22</v>
      </c>
      <c r="N733" t="s">
        <v>23</v>
      </c>
      <c r="O733" s="8">
        <v>53.2333</v>
      </c>
      <c r="P733" s="7">
        <v>-132</v>
      </c>
    </row>
    <row r="734" spans="1:16">
      <c r="A734">
        <v>2007</v>
      </c>
      <c r="B734">
        <v>0</v>
      </c>
      <c r="C734">
        <v>0</v>
      </c>
      <c r="D734">
        <v>0</v>
      </c>
      <c r="E734">
        <v>0</v>
      </c>
      <c r="F734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>
        <v>0</v>
      </c>
      <c r="M734">
        <v>22</v>
      </c>
      <c r="N734" t="s">
        <v>23</v>
      </c>
      <c r="O734" s="8">
        <v>53.2333</v>
      </c>
      <c r="P734" s="7">
        <v>-132</v>
      </c>
    </row>
    <row r="735" spans="1:16">
      <c r="A735">
        <v>2008</v>
      </c>
      <c r="B735">
        <v>0</v>
      </c>
      <c r="C735">
        <v>0</v>
      </c>
      <c r="D735">
        <v>0</v>
      </c>
      <c r="E735">
        <v>0</v>
      </c>
      <c r="F735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>
        <v>0</v>
      </c>
      <c r="M735">
        <v>22</v>
      </c>
      <c r="N735" t="s">
        <v>23</v>
      </c>
      <c r="O735" s="8">
        <v>53.2333</v>
      </c>
      <c r="P735" s="7">
        <v>-132</v>
      </c>
    </row>
    <row r="736" spans="1:16">
      <c r="A736">
        <v>2009</v>
      </c>
      <c r="B736">
        <v>0</v>
      </c>
      <c r="C736">
        <v>0</v>
      </c>
      <c r="D736">
        <v>0</v>
      </c>
      <c r="E736">
        <v>0</v>
      </c>
      <c r="F736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>
        <v>0</v>
      </c>
      <c r="M736">
        <v>22</v>
      </c>
      <c r="N736" t="s">
        <v>23</v>
      </c>
      <c r="O736" s="8">
        <v>53.2333</v>
      </c>
      <c r="P736" s="7">
        <v>-132</v>
      </c>
    </row>
    <row r="737" spans="1:16">
      <c r="A737">
        <v>2010</v>
      </c>
      <c r="B737">
        <v>9</v>
      </c>
      <c r="C737">
        <v>63542</v>
      </c>
      <c r="D737">
        <v>4260</v>
      </c>
      <c r="E737">
        <v>25</v>
      </c>
      <c r="F737">
        <v>1.52</v>
      </c>
      <c r="G737">
        <v>10.1</v>
      </c>
      <c r="H737">
        <v>126.3</v>
      </c>
      <c r="I737">
        <v>129.6</v>
      </c>
      <c r="J737">
        <v>120</v>
      </c>
      <c r="K737">
        <v>139</v>
      </c>
      <c r="L737">
        <v>51</v>
      </c>
      <c r="M737">
        <v>22</v>
      </c>
      <c r="N737" t="s">
        <v>23</v>
      </c>
      <c r="O737" s="8">
        <v>53.2333</v>
      </c>
      <c r="P737" s="7">
        <v>-132</v>
      </c>
    </row>
    <row r="738" spans="1:16">
      <c r="A738">
        <v>2011</v>
      </c>
      <c r="B738">
        <v>4</v>
      </c>
      <c r="C738">
        <v>34266</v>
      </c>
      <c r="D738">
        <v>2320</v>
      </c>
      <c r="E738">
        <v>17</v>
      </c>
      <c r="F738">
        <v>1.96</v>
      </c>
      <c r="G738">
        <v>9.3000000000000007</v>
      </c>
      <c r="H738">
        <v>126.8</v>
      </c>
      <c r="I738">
        <v>113.4</v>
      </c>
      <c r="J738">
        <v>111</v>
      </c>
      <c r="K738">
        <v>139</v>
      </c>
      <c r="L738">
        <v>0</v>
      </c>
      <c r="M738">
        <v>22</v>
      </c>
      <c r="N738" t="s">
        <v>23</v>
      </c>
      <c r="O738" s="8">
        <v>53.2333</v>
      </c>
      <c r="P738" s="7">
        <v>-132</v>
      </c>
    </row>
    <row r="739" spans="1:16">
      <c r="A739">
        <v>2012</v>
      </c>
      <c r="B739">
        <v>0</v>
      </c>
      <c r="C739">
        <v>0</v>
      </c>
      <c r="D739">
        <v>0</v>
      </c>
      <c r="E739">
        <v>0</v>
      </c>
      <c r="F739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>
        <v>0</v>
      </c>
      <c r="M739">
        <v>22</v>
      </c>
      <c r="N739" t="s">
        <v>23</v>
      </c>
      <c r="O739" s="8">
        <v>53.2333</v>
      </c>
      <c r="P739" s="7">
        <v>-132</v>
      </c>
    </row>
    <row r="740" spans="1:16">
      <c r="A740">
        <v>2013</v>
      </c>
      <c r="B740">
        <v>0</v>
      </c>
      <c r="C740">
        <v>0</v>
      </c>
      <c r="D740">
        <v>0</v>
      </c>
      <c r="E740">
        <v>0</v>
      </c>
      <c r="F740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>
        <v>0</v>
      </c>
      <c r="M740">
        <v>22</v>
      </c>
      <c r="N740" t="s">
        <v>23</v>
      </c>
      <c r="O740" s="8">
        <v>53.2333</v>
      </c>
      <c r="P740" s="7">
        <v>-132</v>
      </c>
    </row>
    <row r="741" spans="1:16">
      <c r="A741">
        <v>1940</v>
      </c>
      <c r="B741">
        <v>0</v>
      </c>
      <c r="C741">
        <v>0</v>
      </c>
      <c r="D741">
        <v>0</v>
      </c>
      <c r="E741">
        <v>0</v>
      </c>
      <c r="F741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>
        <v>0</v>
      </c>
      <c r="M741">
        <v>23</v>
      </c>
      <c r="N741" t="s">
        <v>25</v>
      </c>
      <c r="O741" s="8">
        <v>53.05</v>
      </c>
      <c r="P741" s="8">
        <v>-131.78299999999999</v>
      </c>
    </row>
    <row r="742" spans="1:16">
      <c r="A742">
        <v>1941</v>
      </c>
      <c r="B742">
        <v>0</v>
      </c>
      <c r="C742">
        <v>0</v>
      </c>
      <c r="D742">
        <v>0</v>
      </c>
      <c r="E742">
        <v>0</v>
      </c>
      <c r="F742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>
        <v>0</v>
      </c>
      <c r="M742">
        <v>23</v>
      </c>
      <c r="N742" t="s">
        <v>25</v>
      </c>
      <c r="O742" s="8">
        <v>53.05</v>
      </c>
      <c r="P742" s="8">
        <v>-131.78299999999999</v>
      </c>
    </row>
    <row r="743" spans="1:16">
      <c r="A743">
        <v>1942</v>
      </c>
      <c r="B743">
        <v>0</v>
      </c>
      <c r="C743">
        <v>0</v>
      </c>
      <c r="D743">
        <v>0</v>
      </c>
      <c r="E743">
        <v>0</v>
      </c>
      <c r="F743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>
        <v>0</v>
      </c>
      <c r="M743">
        <v>23</v>
      </c>
      <c r="N743" t="s">
        <v>25</v>
      </c>
      <c r="O743" s="8">
        <v>53.05</v>
      </c>
      <c r="P743" s="8">
        <v>-131.78299999999999</v>
      </c>
    </row>
    <row r="744" spans="1:16">
      <c r="A744">
        <v>1943</v>
      </c>
      <c r="B744">
        <v>1</v>
      </c>
      <c r="C744">
        <v>46422</v>
      </c>
      <c r="D744">
        <v>1828</v>
      </c>
      <c r="E744">
        <v>32</v>
      </c>
      <c r="F744">
        <v>1.34</v>
      </c>
      <c r="G744" t="s">
        <v>0</v>
      </c>
      <c r="H744">
        <v>105</v>
      </c>
      <c r="I744">
        <v>105</v>
      </c>
      <c r="J744">
        <v>105</v>
      </c>
      <c r="K744">
        <v>105</v>
      </c>
      <c r="L744">
        <v>0</v>
      </c>
      <c r="M744">
        <v>23</v>
      </c>
      <c r="N744" t="s">
        <v>25</v>
      </c>
      <c r="O744" s="8">
        <v>53.05</v>
      </c>
      <c r="P744" s="8">
        <v>-131.78299999999999</v>
      </c>
    </row>
    <row r="745" spans="1:16">
      <c r="A745">
        <v>1944</v>
      </c>
      <c r="B745">
        <v>0</v>
      </c>
      <c r="C745">
        <v>0</v>
      </c>
      <c r="D745">
        <v>0</v>
      </c>
      <c r="E745">
        <v>0</v>
      </c>
      <c r="F745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>
        <v>0</v>
      </c>
      <c r="M745">
        <v>23</v>
      </c>
      <c r="N745" t="s">
        <v>25</v>
      </c>
      <c r="O745" s="8">
        <v>53.05</v>
      </c>
      <c r="P745" s="8">
        <v>-131.78299999999999</v>
      </c>
    </row>
    <row r="746" spans="1:16">
      <c r="A746">
        <v>1945</v>
      </c>
      <c r="B746">
        <v>0</v>
      </c>
      <c r="C746">
        <v>0</v>
      </c>
      <c r="D746">
        <v>0</v>
      </c>
      <c r="E746">
        <v>0</v>
      </c>
      <c r="F746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>
        <v>0</v>
      </c>
      <c r="M746">
        <v>23</v>
      </c>
      <c r="N746" t="s">
        <v>25</v>
      </c>
      <c r="O746" s="8">
        <v>53.05</v>
      </c>
      <c r="P746" s="8">
        <v>-131.78299999999999</v>
      </c>
    </row>
    <row r="747" spans="1:16">
      <c r="A747">
        <v>1946</v>
      </c>
      <c r="B747">
        <v>0</v>
      </c>
      <c r="C747">
        <v>0</v>
      </c>
      <c r="D747">
        <v>0</v>
      </c>
      <c r="E747">
        <v>0</v>
      </c>
      <c r="F747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>
        <v>0</v>
      </c>
      <c r="M747">
        <v>23</v>
      </c>
      <c r="N747" t="s">
        <v>25</v>
      </c>
      <c r="O747" s="8">
        <v>53.05</v>
      </c>
      <c r="P747" s="8">
        <v>-131.78299999999999</v>
      </c>
    </row>
    <row r="748" spans="1:16">
      <c r="A748">
        <v>1947</v>
      </c>
      <c r="B748">
        <v>0</v>
      </c>
      <c r="C748">
        <v>0</v>
      </c>
      <c r="D748">
        <v>0</v>
      </c>
      <c r="E748">
        <v>0</v>
      </c>
      <c r="F748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>
        <v>0</v>
      </c>
      <c r="M748">
        <v>23</v>
      </c>
      <c r="N748" t="s">
        <v>25</v>
      </c>
      <c r="O748" s="8">
        <v>53.05</v>
      </c>
      <c r="P748" s="8">
        <v>-131.78299999999999</v>
      </c>
    </row>
    <row r="749" spans="1:16">
      <c r="A749">
        <v>1948</v>
      </c>
      <c r="B749">
        <v>0</v>
      </c>
      <c r="C749">
        <v>0</v>
      </c>
      <c r="D749">
        <v>0</v>
      </c>
      <c r="E749">
        <v>0</v>
      </c>
      <c r="F749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>
        <v>0</v>
      </c>
      <c r="M749">
        <v>23</v>
      </c>
      <c r="N749" t="s">
        <v>25</v>
      </c>
      <c r="O749" s="8">
        <v>53.05</v>
      </c>
      <c r="P749" s="8">
        <v>-131.78299999999999</v>
      </c>
    </row>
    <row r="750" spans="1:16">
      <c r="A750">
        <v>1949</v>
      </c>
      <c r="B750">
        <v>0</v>
      </c>
      <c r="C750">
        <v>0</v>
      </c>
      <c r="D750">
        <v>0</v>
      </c>
      <c r="E750">
        <v>0</v>
      </c>
      <c r="F750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>
        <v>0</v>
      </c>
      <c r="M750">
        <v>23</v>
      </c>
      <c r="N750" t="s">
        <v>25</v>
      </c>
      <c r="O750" s="8">
        <v>53.05</v>
      </c>
      <c r="P750" s="8">
        <v>-131.78299999999999</v>
      </c>
    </row>
    <row r="751" spans="1:16">
      <c r="A751">
        <v>1950</v>
      </c>
      <c r="B751">
        <v>0</v>
      </c>
      <c r="C751">
        <v>0</v>
      </c>
      <c r="D751">
        <v>0</v>
      </c>
      <c r="E751">
        <v>0</v>
      </c>
      <c r="F751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>
        <v>0</v>
      </c>
      <c r="M751">
        <v>23</v>
      </c>
      <c r="N751" t="s">
        <v>25</v>
      </c>
      <c r="O751" s="8">
        <v>53.05</v>
      </c>
      <c r="P751" s="8">
        <v>-131.78299999999999</v>
      </c>
    </row>
    <row r="752" spans="1:16">
      <c r="A752">
        <v>1951</v>
      </c>
      <c r="B752">
        <v>0</v>
      </c>
      <c r="C752">
        <v>0</v>
      </c>
      <c r="D752">
        <v>0</v>
      </c>
      <c r="E752">
        <v>0</v>
      </c>
      <c r="F752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>
        <v>0</v>
      </c>
      <c r="M752">
        <v>23</v>
      </c>
      <c r="N752" t="s">
        <v>25</v>
      </c>
      <c r="O752" s="8">
        <v>53.05</v>
      </c>
      <c r="P752" s="8">
        <v>-131.78299999999999</v>
      </c>
    </row>
    <row r="753" spans="1:16">
      <c r="A753">
        <v>1952</v>
      </c>
      <c r="B753">
        <v>0</v>
      </c>
      <c r="C753">
        <v>0</v>
      </c>
      <c r="D753">
        <v>0</v>
      </c>
      <c r="E753">
        <v>0</v>
      </c>
      <c r="F753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>
        <v>0</v>
      </c>
      <c r="M753">
        <v>23</v>
      </c>
      <c r="N753" t="s">
        <v>25</v>
      </c>
      <c r="O753" s="8">
        <v>53.05</v>
      </c>
      <c r="P753" s="8">
        <v>-131.78299999999999</v>
      </c>
    </row>
    <row r="754" spans="1:16">
      <c r="A754">
        <v>1953</v>
      </c>
      <c r="B754">
        <v>0</v>
      </c>
      <c r="C754">
        <v>0</v>
      </c>
      <c r="D754">
        <v>0</v>
      </c>
      <c r="E754">
        <v>0</v>
      </c>
      <c r="F754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>
        <v>0</v>
      </c>
      <c r="M754">
        <v>23</v>
      </c>
      <c r="N754" t="s">
        <v>25</v>
      </c>
      <c r="O754" s="8">
        <v>53.05</v>
      </c>
      <c r="P754" s="8">
        <v>-131.78299999999999</v>
      </c>
    </row>
    <row r="755" spans="1:16">
      <c r="A755">
        <v>1954</v>
      </c>
      <c r="B755">
        <v>0</v>
      </c>
      <c r="C755">
        <v>0</v>
      </c>
      <c r="D755">
        <v>0</v>
      </c>
      <c r="E755">
        <v>0</v>
      </c>
      <c r="F755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>
        <v>0</v>
      </c>
      <c r="M755">
        <v>23</v>
      </c>
      <c r="N755" t="s">
        <v>25</v>
      </c>
      <c r="O755" s="8">
        <v>53.05</v>
      </c>
      <c r="P755" s="8">
        <v>-131.78299999999999</v>
      </c>
    </row>
    <row r="756" spans="1:16">
      <c r="A756">
        <v>1955</v>
      </c>
      <c r="B756">
        <v>0</v>
      </c>
      <c r="C756">
        <v>0</v>
      </c>
      <c r="D756">
        <v>0</v>
      </c>
      <c r="E756">
        <v>0</v>
      </c>
      <c r="F756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>
        <v>0</v>
      </c>
      <c r="M756">
        <v>23</v>
      </c>
      <c r="N756" t="s">
        <v>25</v>
      </c>
      <c r="O756" s="8">
        <v>53.05</v>
      </c>
      <c r="P756" s="8">
        <v>-131.78299999999999</v>
      </c>
    </row>
    <row r="757" spans="1:16">
      <c r="A757">
        <v>1956</v>
      </c>
      <c r="B757">
        <v>0</v>
      </c>
      <c r="C757">
        <v>0</v>
      </c>
      <c r="D757">
        <v>0</v>
      </c>
      <c r="E757">
        <v>0</v>
      </c>
      <c r="F757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>
        <v>0</v>
      </c>
      <c r="M757">
        <v>23</v>
      </c>
      <c r="N757" t="s">
        <v>25</v>
      </c>
      <c r="O757" s="8">
        <v>53.05</v>
      </c>
      <c r="P757" s="8">
        <v>-131.78299999999999</v>
      </c>
    </row>
    <row r="758" spans="1:16">
      <c r="A758">
        <v>1957</v>
      </c>
      <c r="B758">
        <v>0</v>
      </c>
      <c r="C758">
        <v>0</v>
      </c>
      <c r="D758">
        <v>0</v>
      </c>
      <c r="E758">
        <v>0</v>
      </c>
      <c r="F758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>
        <v>0</v>
      </c>
      <c r="M758">
        <v>23</v>
      </c>
      <c r="N758" t="s">
        <v>25</v>
      </c>
      <c r="O758" s="8">
        <v>53.05</v>
      </c>
      <c r="P758" s="8">
        <v>-131.78299999999999</v>
      </c>
    </row>
    <row r="759" spans="1:16">
      <c r="A759">
        <v>1958</v>
      </c>
      <c r="B759">
        <v>0</v>
      </c>
      <c r="C759">
        <v>0</v>
      </c>
      <c r="D759">
        <v>0</v>
      </c>
      <c r="E759">
        <v>0</v>
      </c>
      <c r="F759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>
        <v>0</v>
      </c>
      <c r="M759">
        <v>23</v>
      </c>
      <c r="N759" t="s">
        <v>25</v>
      </c>
      <c r="O759" s="8">
        <v>53.05</v>
      </c>
      <c r="P759" s="8">
        <v>-131.78299999999999</v>
      </c>
    </row>
    <row r="760" spans="1:16">
      <c r="A760">
        <v>1959</v>
      </c>
      <c r="B760">
        <v>0</v>
      </c>
      <c r="C760">
        <v>0</v>
      </c>
      <c r="D760">
        <v>0</v>
      </c>
      <c r="E760">
        <v>0</v>
      </c>
      <c r="F760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>
        <v>0</v>
      </c>
      <c r="M760">
        <v>23</v>
      </c>
      <c r="N760" t="s">
        <v>25</v>
      </c>
      <c r="O760" s="8">
        <v>53.05</v>
      </c>
      <c r="P760" s="8">
        <v>-131.78299999999999</v>
      </c>
    </row>
    <row r="761" spans="1:16">
      <c r="A761">
        <v>1960</v>
      </c>
      <c r="B761">
        <v>0</v>
      </c>
      <c r="C761">
        <v>0</v>
      </c>
      <c r="D761">
        <v>0</v>
      </c>
      <c r="E761">
        <v>0</v>
      </c>
      <c r="F761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>
        <v>0</v>
      </c>
      <c r="M761">
        <v>23</v>
      </c>
      <c r="N761" t="s">
        <v>25</v>
      </c>
      <c r="O761" s="8">
        <v>53.05</v>
      </c>
      <c r="P761" s="8">
        <v>-131.78299999999999</v>
      </c>
    </row>
    <row r="762" spans="1:16">
      <c r="A762">
        <v>1961</v>
      </c>
      <c r="B762">
        <v>0</v>
      </c>
      <c r="C762">
        <v>0</v>
      </c>
      <c r="D762">
        <v>0</v>
      </c>
      <c r="E762">
        <v>0</v>
      </c>
      <c r="F762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>
        <v>0</v>
      </c>
      <c r="M762">
        <v>23</v>
      </c>
      <c r="N762" t="s">
        <v>25</v>
      </c>
      <c r="O762" s="8">
        <v>53.05</v>
      </c>
      <c r="P762" s="8">
        <v>-131.78299999999999</v>
      </c>
    </row>
    <row r="763" spans="1:16">
      <c r="A763">
        <v>1962</v>
      </c>
      <c r="B763">
        <v>0</v>
      </c>
      <c r="C763">
        <v>0</v>
      </c>
      <c r="D763">
        <v>0</v>
      </c>
      <c r="E763">
        <v>0</v>
      </c>
      <c r="F763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>
        <v>0</v>
      </c>
      <c r="M763">
        <v>23</v>
      </c>
      <c r="N763" t="s">
        <v>25</v>
      </c>
      <c r="O763" s="8">
        <v>53.05</v>
      </c>
      <c r="P763" s="8">
        <v>-131.78299999999999</v>
      </c>
    </row>
    <row r="764" spans="1:16">
      <c r="A764">
        <v>1963</v>
      </c>
      <c r="B764">
        <v>0</v>
      </c>
      <c r="C764">
        <v>0</v>
      </c>
      <c r="D764">
        <v>0</v>
      </c>
      <c r="E764">
        <v>0</v>
      </c>
      <c r="F764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>
        <v>0</v>
      </c>
      <c r="M764">
        <v>23</v>
      </c>
      <c r="N764" t="s">
        <v>25</v>
      </c>
      <c r="O764" s="8">
        <v>53.05</v>
      </c>
      <c r="P764" s="8">
        <v>-131.78299999999999</v>
      </c>
    </row>
    <row r="765" spans="1:16">
      <c r="A765">
        <v>1964</v>
      </c>
      <c r="B765">
        <v>0</v>
      </c>
      <c r="C765">
        <v>0</v>
      </c>
      <c r="D765">
        <v>0</v>
      </c>
      <c r="E765">
        <v>0</v>
      </c>
      <c r="F765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>
        <v>0</v>
      </c>
      <c r="M765">
        <v>23</v>
      </c>
      <c r="N765" t="s">
        <v>25</v>
      </c>
      <c r="O765" s="8">
        <v>53.05</v>
      </c>
      <c r="P765" s="8">
        <v>-131.78299999999999</v>
      </c>
    </row>
    <row r="766" spans="1:16">
      <c r="A766">
        <v>1965</v>
      </c>
      <c r="B766">
        <v>0</v>
      </c>
      <c r="C766">
        <v>0</v>
      </c>
      <c r="D766">
        <v>0</v>
      </c>
      <c r="E766">
        <v>0</v>
      </c>
      <c r="F766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>
        <v>0</v>
      </c>
      <c r="M766">
        <v>23</v>
      </c>
      <c r="N766" t="s">
        <v>25</v>
      </c>
      <c r="O766" s="8">
        <v>53.05</v>
      </c>
      <c r="P766" s="8">
        <v>-131.78299999999999</v>
      </c>
    </row>
    <row r="767" spans="1:16">
      <c r="A767">
        <v>1966</v>
      </c>
      <c r="B767">
        <v>0</v>
      </c>
      <c r="C767">
        <v>0</v>
      </c>
      <c r="D767">
        <v>0</v>
      </c>
      <c r="E767">
        <v>0</v>
      </c>
      <c r="F767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>
        <v>0</v>
      </c>
      <c r="M767">
        <v>23</v>
      </c>
      <c r="N767" t="s">
        <v>25</v>
      </c>
      <c r="O767" s="8">
        <v>53.05</v>
      </c>
      <c r="P767" s="8">
        <v>-131.78299999999999</v>
      </c>
    </row>
    <row r="768" spans="1:16">
      <c r="A768">
        <v>1967</v>
      </c>
      <c r="B768">
        <v>3</v>
      </c>
      <c r="C768">
        <v>9879</v>
      </c>
      <c r="D768">
        <v>389</v>
      </c>
      <c r="E768">
        <v>19</v>
      </c>
      <c r="F768">
        <v>4.13</v>
      </c>
      <c r="G768">
        <v>7.4</v>
      </c>
      <c r="H768">
        <v>110</v>
      </c>
      <c r="I768">
        <v>110</v>
      </c>
      <c r="J768">
        <v>110</v>
      </c>
      <c r="K768">
        <v>110</v>
      </c>
      <c r="L768">
        <v>0</v>
      </c>
      <c r="M768">
        <v>23</v>
      </c>
      <c r="N768" t="s">
        <v>25</v>
      </c>
      <c r="O768" s="8">
        <v>53.05</v>
      </c>
      <c r="P768" s="8">
        <v>-131.78299999999999</v>
      </c>
    </row>
    <row r="769" spans="1:16">
      <c r="A769">
        <v>1968</v>
      </c>
      <c r="B769">
        <v>0</v>
      </c>
      <c r="C769">
        <v>0</v>
      </c>
      <c r="D769">
        <v>0</v>
      </c>
      <c r="E769">
        <v>0</v>
      </c>
      <c r="F769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>
        <v>0</v>
      </c>
      <c r="M769">
        <v>23</v>
      </c>
      <c r="N769" t="s">
        <v>25</v>
      </c>
      <c r="O769" s="8">
        <v>53.05</v>
      </c>
      <c r="P769" s="8">
        <v>-131.78299999999999</v>
      </c>
    </row>
    <row r="770" spans="1:16">
      <c r="A770">
        <v>1969</v>
      </c>
      <c r="B770">
        <v>0</v>
      </c>
      <c r="C770">
        <v>0</v>
      </c>
      <c r="D770">
        <v>0</v>
      </c>
      <c r="E770">
        <v>0</v>
      </c>
      <c r="F770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>
        <v>0</v>
      </c>
      <c r="M770">
        <v>23</v>
      </c>
      <c r="N770" t="s">
        <v>25</v>
      </c>
      <c r="O770" s="8">
        <v>53.05</v>
      </c>
      <c r="P770" s="8">
        <v>-131.78299999999999</v>
      </c>
    </row>
    <row r="771" spans="1:16">
      <c r="A771">
        <v>1970</v>
      </c>
      <c r="B771">
        <v>14</v>
      </c>
      <c r="C771">
        <v>159735</v>
      </c>
      <c r="D771">
        <v>6290</v>
      </c>
      <c r="E771">
        <v>118</v>
      </c>
      <c r="F771">
        <v>3.11</v>
      </c>
      <c r="G771">
        <v>7.6</v>
      </c>
      <c r="H771">
        <v>92.8</v>
      </c>
      <c r="I771">
        <v>92.8</v>
      </c>
      <c r="J771">
        <v>89</v>
      </c>
      <c r="K771">
        <v>108</v>
      </c>
      <c r="L771">
        <v>0</v>
      </c>
      <c r="M771">
        <v>23</v>
      </c>
      <c r="N771" t="s">
        <v>25</v>
      </c>
      <c r="O771" s="8">
        <v>53.05</v>
      </c>
      <c r="P771" s="8">
        <v>-131.78299999999999</v>
      </c>
    </row>
    <row r="772" spans="1:16">
      <c r="A772">
        <v>1971</v>
      </c>
      <c r="B772">
        <v>3</v>
      </c>
      <c r="C772">
        <v>324727</v>
      </c>
      <c r="D772">
        <v>12787</v>
      </c>
      <c r="E772">
        <v>15</v>
      </c>
      <c r="F772">
        <v>2.54</v>
      </c>
      <c r="G772">
        <v>7.5</v>
      </c>
      <c r="H772">
        <v>134.69999999999999</v>
      </c>
      <c r="I772">
        <v>113.8</v>
      </c>
      <c r="J772">
        <v>113</v>
      </c>
      <c r="K772">
        <v>148</v>
      </c>
      <c r="L772">
        <v>0</v>
      </c>
      <c r="M772">
        <v>23</v>
      </c>
      <c r="N772" t="s">
        <v>25</v>
      </c>
      <c r="O772" s="8">
        <v>53.05</v>
      </c>
      <c r="P772" s="8">
        <v>-131.78299999999999</v>
      </c>
    </row>
    <row r="773" spans="1:16">
      <c r="A773">
        <v>1972</v>
      </c>
      <c r="B773">
        <v>4</v>
      </c>
      <c r="C773">
        <v>281099</v>
      </c>
      <c r="D773">
        <v>11069</v>
      </c>
      <c r="E773">
        <v>15</v>
      </c>
      <c r="F773">
        <v>2.2400000000000002</v>
      </c>
      <c r="G773">
        <v>7.5</v>
      </c>
      <c r="H773">
        <v>113.5</v>
      </c>
      <c r="I773">
        <v>97.3</v>
      </c>
      <c r="J773">
        <v>94</v>
      </c>
      <c r="K773">
        <v>120</v>
      </c>
      <c r="L773">
        <v>0</v>
      </c>
      <c r="M773">
        <v>23</v>
      </c>
      <c r="N773" t="s">
        <v>25</v>
      </c>
      <c r="O773" s="8">
        <v>53.05</v>
      </c>
      <c r="P773" s="8">
        <v>-131.78299999999999</v>
      </c>
    </row>
    <row r="774" spans="1:16">
      <c r="A774">
        <v>1973</v>
      </c>
      <c r="B774">
        <v>18</v>
      </c>
      <c r="C774">
        <v>285492</v>
      </c>
      <c r="D774">
        <v>11242</v>
      </c>
      <c r="E774">
        <v>26</v>
      </c>
      <c r="F774">
        <v>3.08</v>
      </c>
      <c r="G774">
        <v>8</v>
      </c>
      <c r="H774">
        <v>102</v>
      </c>
      <c r="I774">
        <v>103.9</v>
      </c>
      <c r="J774">
        <v>87</v>
      </c>
      <c r="K774">
        <v>105</v>
      </c>
      <c r="L774">
        <v>0</v>
      </c>
      <c r="M774">
        <v>23</v>
      </c>
      <c r="N774" t="s">
        <v>25</v>
      </c>
      <c r="O774" s="8">
        <v>53.05</v>
      </c>
      <c r="P774" s="8">
        <v>-131.78299999999999</v>
      </c>
    </row>
    <row r="775" spans="1:16">
      <c r="A775">
        <v>1974</v>
      </c>
      <c r="B775">
        <v>11</v>
      </c>
      <c r="C775">
        <v>186095</v>
      </c>
      <c r="D775">
        <v>7328</v>
      </c>
      <c r="E775">
        <v>14</v>
      </c>
      <c r="F775">
        <v>2.5499999999999998</v>
      </c>
      <c r="G775">
        <v>7.9</v>
      </c>
      <c r="H775">
        <v>110.4</v>
      </c>
      <c r="I775">
        <v>102.4</v>
      </c>
      <c r="J775">
        <v>90</v>
      </c>
      <c r="K775">
        <v>148</v>
      </c>
      <c r="L775">
        <v>0</v>
      </c>
      <c r="M775">
        <v>23</v>
      </c>
      <c r="N775" t="s">
        <v>25</v>
      </c>
      <c r="O775" s="8">
        <v>53.05</v>
      </c>
      <c r="P775" s="8">
        <v>-131.78299999999999</v>
      </c>
    </row>
    <row r="776" spans="1:16">
      <c r="A776">
        <v>1975</v>
      </c>
      <c r="B776">
        <v>10</v>
      </c>
      <c r="C776">
        <v>279676</v>
      </c>
      <c r="D776">
        <v>11013</v>
      </c>
      <c r="E776">
        <v>7</v>
      </c>
      <c r="F776">
        <v>2.83</v>
      </c>
      <c r="G776" t="s">
        <v>0</v>
      </c>
      <c r="H776">
        <v>127.3</v>
      </c>
      <c r="I776">
        <v>118.6</v>
      </c>
      <c r="J776">
        <v>100</v>
      </c>
      <c r="K776">
        <v>148</v>
      </c>
      <c r="L776">
        <v>0</v>
      </c>
      <c r="M776">
        <v>23</v>
      </c>
      <c r="N776" t="s">
        <v>25</v>
      </c>
      <c r="O776" s="8">
        <v>53.05</v>
      </c>
      <c r="P776" s="8">
        <v>-131.78299999999999</v>
      </c>
    </row>
    <row r="777" spans="1:16">
      <c r="A777">
        <v>1976</v>
      </c>
      <c r="B777">
        <v>10</v>
      </c>
      <c r="C777">
        <v>241406</v>
      </c>
      <c r="D777">
        <v>9506</v>
      </c>
      <c r="E777">
        <v>13</v>
      </c>
      <c r="F777">
        <v>2.79</v>
      </c>
      <c r="G777">
        <v>7.6</v>
      </c>
      <c r="H777">
        <v>135.1</v>
      </c>
      <c r="I777">
        <v>124.9</v>
      </c>
      <c r="J777">
        <v>104</v>
      </c>
      <c r="K777">
        <v>168</v>
      </c>
      <c r="L777">
        <v>0</v>
      </c>
      <c r="M777">
        <v>23</v>
      </c>
      <c r="N777" t="s">
        <v>25</v>
      </c>
      <c r="O777" s="8">
        <v>53.05</v>
      </c>
      <c r="P777" s="8">
        <v>-131.78299999999999</v>
      </c>
    </row>
    <row r="778" spans="1:16">
      <c r="A778">
        <v>1977</v>
      </c>
      <c r="B778">
        <v>11</v>
      </c>
      <c r="C778">
        <v>338872</v>
      </c>
      <c r="D778">
        <v>13344</v>
      </c>
      <c r="E778">
        <v>16</v>
      </c>
      <c r="F778">
        <v>3.14</v>
      </c>
      <c r="G778">
        <v>9.4</v>
      </c>
      <c r="H778">
        <v>115.6</v>
      </c>
      <c r="I778">
        <v>118</v>
      </c>
      <c r="J778">
        <v>91</v>
      </c>
      <c r="K778">
        <v>138</v>
      </c>
      <c r="L778">
        <v>0</v>
      </c>
      <c r="M778">
        <v>23</v>
      </c>
      <c r="N778" t="s">
        <v>25</v>
      </c>
      <c r="O778" s="8">
        <v>53.05</v>
      </c>
      <c r="P778" s="8">
        <v>-131.78299999999999</v>
      </c>
    </row>
    <row r="779" spans="1:16">
      <c r="A779">
        <v>1978</v>
      </c>
      <c r="B779">
        <v>11</v>
      </c>
      <c r="C779">
        <v>331940</v>
      </c>
      <c r="D779">
        <v>13071</v>
      </c>
      <c r="E779">
        <v>30</v>
      </c>
      <c r="F779">
        <v>1.91</v>
      </c>
      <c r="G779">
        <v>8.8000000000000007</v>
      </c>
      <c r="H779">
        <v>114.6</v>
      </c>
      <c r="I779">
        <v>115.6</v>
      </c>
      <c r="J779">
        <v>91</v>
      </c>
      <c r="K779">
        <v>144</v>
      </c>
      <c r="L779">
        <v>0</v>
      </c>
      <c r="M779">
        <v>23</v>
      </c>
      <c r="N779" t="s">
        <v>25</v>
      </c>
      <c r="O779" s="8">
        <v>53.05</v>
      </c>
      <c r="P779" s="8">
        <v>-131.78299999999999</v>
      </c>
    </row>
    <row r="780" spans="1:16">
      <c r="A780">
        <v>1979</v>
      </c>
      <c r="B780">
        <v>33</v>
      </c>
      <c r="C780">
        <v>243641</v>
      </c>
      <c r="D780">
        <v>9594</v>
      </c>
      <c r="E780">
        <v>17</v>
      </c>
      <c r="F780">
        <v>3.5</v>
      </c>
      <c r="G780">
        <v>8.1</v>
      </c>
      <c r="H780">
        <v>123.9</v>
      </c>
      <c r="I780">
        <v>121</v>
      </c>
      <c r="J780">
        <v>102</v>
      </c>
      <c r="K780">
        <v>152</v>
      </c>
      <c r="L780">
        <v>0</v>
      </c>
      <c r="M780">
        <v>23</v>
      </c>
      <c r="N780" t="s">
        <v>25</v>
      </c>
      <c r="O780" s="8">
        <v>53.05</v>
      </c>
      <c r="P780" s="8">
        <v>-131.78299999999999</v>
      </c>
    </row>
    <row r="781" spans="1:16">
      <c r="A781">
        <v>1980</v>
      </c>
      <c r="B781">
        <v>0</v>
      </c>
      <c r="C781">
        <v>0</v>
      </c>
      <c r="D781">
        <v>0</v>
      </c>
      <c r="E781">
        <v>0</v>
      </c>
      <c r="F781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>
        <v>0</v>
      </c>
      <c r="M781">
        <v>23</v>
      </c>
      <c r="N781" t="s">
        <v>25</v>
      </c>
      <c r="O781" s="8">
        <v>53.05</v>
      </c>
      <c r="P781" s="8">
        <v>-131.78299999999999</v>
      </c>
    </row>
    <row r="782" spans="1:16">
      <c r="A782">
        <v>1981</v>
      </c>
      <c r="B782">
        <v>26</v>
      </c>
      <c r="C782">
        <v>165602</v>
      </c>
      <c r="D782">
        <v>6521</v>
      </c>
      <c r="E782">
        <v>16</v>
      </c>
      <c r="F782">
        <v>2.25</v>
      </c>
      <c r="G782">
        <v>9.5</v>
      </c>
      <c r="H782">
        <v>125.7</v>
      </c>
      <c r="I782">
        <v>112.2</v>
      </c>
      <c r="J782">
        <v>91</v>
      </c>
      <c r="K782">
        <v>176</v>
      </c>
      <c r="L782">
        <v>0</v>
      </c>
      <c r="M782">
        <v>23</v>
      </c>
      <c r="N782" t="s">
        <v>25</v>
      </c>
      <c r="O782" s="8">
        <v>53.05</v>
      </c>
      <c r="P782" s="8">
        <v>-131.78299999999999</v>
      </c>
    </row>
    <row r="783" spans="1:16">
      <c r="A783">
        <v>1982</v>
      </c>
      <c r="B783">
        <v>5</v>
      </c>
      <c r="C783">
        <v>58256</v>
      </c>
      <c r="D783">
        <v>2294</v>
      </c>
      <c r="E783">
        <v>15</v>
      </c>
      <c r="F783">
        <v>1.42</v>
      </c>
      <c r="G783">
        <v>7</v>
      </c>
      <c r="H783">
        <v>92</v>
      </c>
      <c r="I783">
        <v>92</v>
      </c>
      <c r="J783">
        <v>91</v>
      </c>
      <c r="K783">
        <v>96</v>
      </c>
      <c r="L783">
        <v>0</v>
      </c>
      <c r="M783">
        <v>23</v>
      </c>
      <c r="N783" t="s">
        <v>25</v>
      </c>
      <c r="O783" s="8">
        <v>53.05</v>
      </c>
      <c r="P783" s="8">
        <v>-131.78299999999999</v>
      </c>
    </row>
    <row r="784" spans="1:16">
      <c r="A784">
        <v>1983</v>
      </c>
      <c r="B784">
        <v>20</v>
      </c>
      <c r="C784">
        <v>159608</v>
      </c>
      <c r="D784">
        <v>6285</v>
      </c>
      <c r="E784">
        <v>26</v>
      </c>
      <c r="F784">
        <v>1.19</v>
      </c>
      <c r="G784">
        <v>8.6</v>
      </c>
      <c r="H784">
        <v>98.4</v>
      </c>
      <c r="I784">
        <v>99.9</v>
      </c>
      <c r="J784">
        <v>95</v>
      </c>
      <c r="K784">
        <v>141</v>
      </c>
      <c r="L784">
        <v>0</v>
      </c>
      <c r="M784">
        <v>23</v>
      </c>
      <c r="N784" t="s">
        <v>25</v>
      </c>
      <c r="O784" s="8">
        <v>53.05</v>
      </c>
      <c r="P784" s="8">
        <v>-131.78299999999999</v>
      </c>
    </row>
    <row r="785" spans="1:16">
      <c r="A785">
        <v>1984</v>
      </c>
      <c r="B785">
        <v>12</v>
      </c>
      <c r="C785">
        <v>141197</v>
      </c>
      <c r="D785">
        <v>5560</v>
      </c>
      <c r="E785">
        <v>15</v>
      </c>
      <c r="F785">
        <v>2.17</v>
      </c>
      <c r="G785">
        <v>8.5</v>
      </c>
      <c r="H785">
        <v>108.7</v>
      </c>
      <c r="I785">
        <v>102.5</v>
      </c>
      <c r="J785">
        <v>85</v>
      </c>
      <c r="K785">
        <v>145</v>
      </c>
      <c r="L785">
        <v>0</v>
      </c>
      <c r="M785">
        <v>23</v>
      </c>
      <c r="N785" t="s">
        <v>25</v>
      </c>
      <c r="O785" s="8">
        <v>53.05</v>
      </c>
      <c r="P785" s="8">
        <v>-131.78299999999999</v>
      </c>
    </row>
    <row r="786" spans="1:16">
      <c r="A786">
        <v>1985</v>
      </c>
      <c r="B786">
        <v>11</v>
      </c>
      <c r="C786">
        <v>121897</v>
      </c>
      <c r="D786">
        <v>4800</v>
      </c>
      <c r="E786">
        <v>19</v>
      </c>
      <c r="F786">
        <v>1.08</v>
      </c>
      <c r="G786">
        <v>7.5</v>
      </c>
      <c r="H786">
        <v>95</v>
      </c>
      <c r="I786">
        <v>95</v>
      </c>
      <c r="J786">
        <v>95</v>
      </c>
      <c r="K786">
        <v>95</v>
      </c>
      <c r="L786">
        <v>0</v>
      </c>
      <c r="M786">
        <v>23</v>
      </c>
      <c r="N786" t="s">
        <v>25</v>
      </c>
      <c r="O786" s="8">
        <v>53.05</v>
      </c>
      <c r="P786" s="8">
        <v>-131.78299999999999</v>
      </c>
    </row>
    <row r="787" spans="1:16">
      <c r="A787">
        <v>1986</v>
      </c>
      <c r="B787">
        <v>4</v>
      </c>
      <c r="C787">
        <v>126341</v>
      </c>
      <c r="D787">
        <v>4975</v>
      </c>
      <c r="E787">
        <v>8</v>
      </c>
      <c r="F787">
        <v>0.61</v>
      </c>
      <c r="G787">
        <v>8</v>
      </c>
      <c r="H787">
        <v>118</v>
      </c>
      <c r="I787">
        <v>118</v>
      </c>
      <c r="J787">
        <v>118</v>
      </c>
      <c r="K787">
        <v>118</v>
      </c>
      <c r="L787">
        <v>0</v>
      </c>
      <c r="M787">
        <v>23</v>
      </c>
      <c r="N787" t="s">
        <v>25</v>
      </c>
      <c r="O787" s="8">
        <v>53.05</v>
      </c>
      <c r="P787" s="8">
        <v>-131.78299999999999</v>
      </c>
    </row>
    <row r="788" spans="1:16">
      <c r="A788">
        <v>1987</v>
      </c>
      <c r="B788">
        <v>7</v>
      </c>
      <c r="C788">
        <v>162529</v>
      </c>
      <c r="D788">
        <v>6400</v>
      </c>
      <c r="E788">
        <v>9</v>
      </c>
      <c r="F788">
        <v>1.56</v>
      </c>
      <c r="G788">
        <v>9</v>
      </c>
      <c r="H788">
        <v>104.9</v>
      </c>
      <c r="I788">
        <v>95.1</v>
      </c>
      <c r="J788">
        <v>92</v>
      </c>
      <c r="K788">
        <v>108</v>
      </c>
      <c r="L788">
        <v>0</v>
      </c>
      <c r="M788">
        <v>23</v>
      </c>
      <c r="N788" t="s">
        <v>25</v>
      </c>
      <c r="O788" s="8">
        <v>53.05</v>
      </c>
      <c r="P788" s="8">
        <v>-131.78299999999999</v>
      </c>
    </row>
    <row r="789" spans="1:16">
      <c r="A789">
        <v>1988</v>
      </c>
      <c r="B789">
        <v>0</v>
      </c>
      <c r="C789">
        <v>0</v>
      </c>
      <c r="D789">
        <v>0</v>
      </c>
      <c r="E789">
        <v>0</v>
      </c>
      <c r="F789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>
        <v>0</v>
      </c>
      <c r="M789">
        <v>23</v>
      </c>
      <c r="N789" t="s">
        <v>25</v>
      </c>
      <c r="O789" s="8">
        <v>53.05</v>
      </c>
      <c r="P789" s="8">
        <v>-131.78299999999999</v>
      </c>
    </row>
    <row r="790" spans="1:16">
      <c r="A790">
        <v>1989</v>
      </c>
      <c r="B790">
        <v>5</v>
      </c>
      <c r="C790">
        <v>28950</v>
      </c>
      <c r="D790">
        <v>1140</v>
      </c>
      <c r="E790">
        <v>48</v>
      </c>
      <c r="F790">
        <v>2.5</v>
      </c>
      <c r="G790">
        <v>7.5</v>
      </c>
      <c r="H790">
        <v>107.6</v>
      </c>
      <c r="I790">
        <v>104.6</v>
      </c>
      <c r="J790">
        <v>98</v>
      </c>
      <c r="K790">
        <v>114</v>
      </c>
      <c r="L790">
        <v>0</v>
      </c>
      <c r="M790">
        <v>23</v>
      </c>
      <c r="N790" t="s">
        <v>25</v>
      </c>
      <c r="O790" s="8">
        <v>53.05</v>
      </c>
      <c r="P790" s="8">
        <v>-131.78299999999999</v>
      </c>
    </row>
    <row r="791" spans="1:16">
      <c r="A791">
        <v>1990</v>
      </c>
      <c r="B791">
        <v>3</v>
      </c>
      <c r="C791">
        <v>76185</v>
      </c>
      <c r="D791">
        <v>3000</v>
      </c>
      <c r="E791">
        <v>9</v>
      </c>
      <c r="F791">
        <v>4.2699999999999996</v>
      </c>
      <c r="G791">
        <v>7.2</v>
      </c>
      <c r="H791">
        <v>93</v>
      </c>
      <c r="I791">
        <v>93</v>
      </c>
      <c r="J791">
        <v>93</v>
      </c>
      <c r="K791">
        <v>93</v>
      </c>
      <c r="L791">
        <v>0</v>
      </c>
      <c r="M791">
        <v>23</v>
      </c>
      <c r="N791" t="s">
        <v>25</v>
      </c>
      <c r="O791" s="8">
        <v>53.05</v>
      </c>
      <c r="P791" s="8">
        <v>-131.78299999999999</v>
      </c>
    </row>
    <row r="792" spans="1:16">
      <c r="A792">
        <v>1991</v>
      </c>
      <c r="B792">
        <v>1</v>
      </c>
      <c r="C792">
        <v>91422</v>
      </c>
      <c r="D792">
        <v>3600</v>
      </c>
      <c r="E792">
        <v>10</v>
      </c>
      <c r="F792">
        <v>0.5</v>
      </c>
      <c r="G792">
        <v>7.5</v>
      </c>
      <c r="H792">
        <v>91</v>
      </c>
      <c r="I792">
        <v>91</v>
      </c>
      <c r="J792">
        <v>91</v>
      </c>
      <c r="K792">
        <v>91</v>
      </c>
      <c r="L792">
        <v>0</v>
      </c>
      <c r="M792">
        <v>23</v>
      </c>
      <c r="N792" t="s">
        <v>25</v>
      </c>
      <c r="O792" s="8">
        <v>53.05</v>
      </c>
      <c r="P792" s="8">
        <v>-131.78299999999999</v>
      </c>
    </row>
    <row r="793" spans="1:16">
      <c r="A793">
        <v>1992</v>
      </c>
      <c r="B793">
        <v>1</v>
      </c>
      <c r="C793">
        <v>96501</v>
      </c>
      <c r="D793">
        <v>3800</v>
      </c>
      <c r="E793">
        <v>84</v>
      </c>
      <c r="F793">
        <v>0.47</v>
      </c>
      <c r="G793">
        <v>8.8000000000000007</v>
      </c>
      <c r="H793">
        <v>107</v>
      </c>
      <c r="I793">
        <v>107</v>
      </c>
      <c r="J793">
        <v>107</v>
      </c>
      <c r="K793">
        <v>107</v>
      </c>
      <c r="L793">
        <v>100</v>
      </c>
      <c r="M793">
        <v>23</v>
      </c>
      <c r="N793" t="s">
        <v>25</v>
      </c>
      <c r="O793" s="8">
        <v>53.05</v>
      </c>
      <c r="P793" s="8">
        <v>-131.78299999999999</v>
      </c>
    </row>
    <row r="794" spans="1:16">
      <c r="A794">
        <v>1993</v>
      </c>
      <c r="B794">
        <v>1</v>
      </c>
      <c r="C794">
        <v>25395</v>
      </c>
      <c r="D794">
        <v>1000</v>
      </c>
      <c r="E794">
        <v>50</v>
      </c>
      <c r="F794">
        <v>0.08</v>
      </c>
      <c r="G794">
        <v>7.5</v>
      </c>
      <c r="H794">
        <v>106</v>
      </c>
      <c r="I794">
        <v>106</v>
      </c>
      <c r="J794">
        <v>106</v>
      </c>
      <c r="K794">
        <v>106</v>
      </c>
      <c r="L794">
        <v>0</v>
      </c>
      <c r="M794">
        <v>23</v>
      </c>
      <c r="N794" t="s">
        <v>25</v>
      </c>
      <c r="O794" s="8">
        <v>53.05</v>
      </c>
      <c r="P794" s="8">
        <v>-131.78299999999999</v>
      </c>
    </row>
    <row r="795" spans="1:16">
      <c r="A795">
        <v>1994</v>
      </c>
      <c r="B795">
        <v>2</v>
      </c>
      <c r="C795">
        <v>132309</v>
      </c>
      <c r="D795">
        <v>5210</v>
      </c>
      <c r="E795">
        <v>13</v>
      </c>
      <c r="F795">
        <v>1.72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>
        <v>100</v>
      </c>
      <c r="M795">
        <v>23</v>
      </c>
      <c r="N795" t="s">
        <v>25</v>
      </c>
      <c r="O795" s="8">
        <v>53.05</v>
      </c>
      <c r="P795" s="8">
        <v>-131.78299999999999</v>
      </c>
    </row>
    <row r="796" spans="1:16">
      <c r="A796">
        <v>1995</v>
      </c>
      <c r="B796">
        <v>1</v>
      </c>
      <c r="C796">
        <v>90915</v>
      </c>
      <c r="D796">
        <v>3580</v>
      </c>
      <c r="E796">
        <v>11</v>
      </c>
      <c r="F796">
        <v>2.96</v>
      </c>
      <c r="G796">
        <v>8.3000000000000007</v>
      </c>
      <c r="H796">
        <v>115</v>
      </c>
      <c r="I796">
        <v>115</v>
      </c>
      <c r="J796">
        <v>115</v>
      </c>
      <c r="K796">
        <v>115</v>
      </c>
      <c r="L796">
        <v>100</v>
      </c>
      <c r="M796">
        <v>23</v>
      </c>
      <c r="N796" t="s">
        <v>25</v>
      </c>
      <c r="O796" s="8">
        <v>53.05</v>
      </c>
      <c r="P796" s="8">
        <v>-131.78299999999999</v>
      </c>
    </row>
    <row r="797" spans="1:16">
      <c r="A797">
        <v>1996</v>
      </c>
      <c r="B797">
        <v>0</v>
      </c>
      <c r="C797">
        <v>0</v>
      </c>
      <c r="D797">
        <v>0</v>
      </c>
      <c r="E797">
        <v>0</v>
      </c>
      <c r="F797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>
        <v>0</v>
      </c>
      <c r="M797">
        <v>23</v>
      </c>
      <c r="N797" t="s">
        <v>25</v>
      </c>
      <c r="O797" s="8">
        <v>53.05</v>
      </c>
      <c r="P797" s="8">
        <v>-131.78299999999999</v>
      </c>
    </row>
    <row r="798" spans="1:16">
      <c r="A798">
        <v>1997</v>
      </c>
      <c r="B798">
        <v>0</v>
      </c>
      <c r="C798">
        <v>0</v>
      </c>
      <c r="D798">
        <v>0</v>
      </c>
      <c r="E798">
        <v>0</v>
      </c>
      <c r="F798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>
        <v>0</v>
      </c>
      <c r="M798">
        <v>23</v>
      </c>
      <c r="N798" t="s">
        <v>25</v>
      </c>
      <c r="O798" s="8">
        <v>53.05</v>
      </c>
      <c r="P798" s="8">
        <v>-131.78299999999999</v>
      </c>
    </row>
    <row r="799" spans="1:16">
      <c r="A799">
        <v>1998</v>
      </c>
      <c r="B799">
        <v>0</v>
      </c>
      <c r="C799">
        <v>0</v>
      </c>
      <c r="D799">
        <v>0</v>
      </c>
      <c r="E799">
        <v>0</v>
      </c>
      <c r="F799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>
        <v>0</v>
      </c>
      <c r="M799">
        <v>23</v>
      </c>
      <c r="N799" t="s">
        <v>25</v>
      </c>
      <c r="O799" s="8">
        <v>53.05</v>
      </c>
      <c r="P799" s="8">
        <v>-131.78299999999999</v>
      </c>
    </row>
    <row r="800" spans="1:16">
      <c r="A800">
        <v>1999</v>
      </c>
      <c r="B800">
        <v>0</v>
      </c>
      <c r="C800">
        <v>0</v>
      </c>
      <c r="D800">
        <v>0</v>
      </c>
      <c r="E800">
        <v>0</v>
      </c>
      <c r="F800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>
        <v>0</v>
      </c>
      <c r="M800">
        <v>23</v>
      </c>
      <c r="N800" t="s">
        <v>25</v>
      </c>
      <c r="O800" s="8">
        <v>53.05</v>
      </c>
      <c r="P800" s="8">
        <v>-131.78299999999999</v>
      </c>
    </row>
    <row r="801" spans="1:16">
      <c r="A801">
        <v>2000</v>
      </c>
      <c r="B801">
        <v>0</v>
      </c>
      <c r="C801">
        <v>0</v>
      </c>
      <c r="D801">
        <v>0</v>
      </c>
      <c r="E801">
        <v>0</v>
      </c>
      <c r="F801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>
        <v>0</v>
      </c>
      <c r="M801">
        <v>23</v>
      </c>
      <c r="N801" t="s">
        <v>25</v>
      </c>
      <c r="O801" s="8">
        <v>53.05</v>
      </c>
      <c r="P801" s="8">
        <v>-131.78299999999999</v>
      </c>
    </row>
    <row r="802" spans="1:16">
      <c r="A802">
        <v>2001</v>
      </c>
      <c r="B802">
        <v>0</v>
      </c>
      <c r="C802">
        <v>0</v>
      </c>
      <c r="D802">
        <v>0</v>
      </c>
      <c r="E802">
        <v>0</v>
      </c>
      <c r="F802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>
        <v>0</v>
      </c>
      <c r="M802">
        <v>23</v>
      </c>
      <c r="N802" t="s">
        <v>25</v>
      </c>
      <c r="O802" s="8">
        <v>53.05</v>
      </c>
      <c r="P802" s="8">
        <v>-131.78299999999999</v>
      </c>
    </row>
    <row r="803" spans="1:16">
      <c r="A803">
        <v>2002</v>
      </c>
      <c r="B803">
        <v>0</v>
      </c>
      <c r="C803">
        <v>0</v>
      </c>
      <c r="D803">
        <v>0</v>
      </c>
      <c r="E803">
        <v>0</v>
      </c>
      <c r="F803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>
        <v>0</v>
      </c>
      <c r="M803">
        <v>23</v>
      </c>
      <c r="N803" t="s">
        <v>25</v>
      </c>
      <c r="O803" s="8">
        <v>53.05</v>
      </c>
      <c r="P803" s="8">
        <v>-131.78299999999999</v>
      </c>
    </row>
    <row r="804" spans="1:16">
      <c r="A804">
        <v>2003</v>
      </c>
      <c r="B804">
        <v>0</v>
      </c>
      <c r="C804">
        <v>0</v>
      </c>
      <c r="D804">
        <v>0</v>
      </c>
      <c r="E804">
        <v>0</v>
      </c>
      <c r="F804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>
        <v>0</v>
      </c>
      <c r="M804">
        <v>23</v>
      </c>
      <c r="N804" t="s">
        <v>25</v>
      </c>
      <c r="O804" s="8">
        <v>53.05</v>
      </c>
      <c r="P804" s="8">
        <v>-131.78299999999999</v>
      </c>
    </row>
    <row r="805" spans="1:16">
      <c r="A805">
        <v>2004</v>
      </c>
      <c r="B805">
        <v>0</v>
      </c>
      <c r="C805">
        <v>0</v>
      </c>
      <c r="D805">
        <v>0</v>
      </c>
      <c r="E805">
        <v>0</v>
      </c>
      <c r="F805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>
        <v>0</v>
      </c>
      <c r="M805">
        <v>23</v>
      </c>
      <c r="N805" t="s">
        <v>25</v>
      </c>
      <c r="O805" s="8">
        <v>53.05</v>
      </c>
      <c r="P805" s="8">
        <v>-131.78299999999999</v>
      </c>
    </row>
    <row r="806" spans="1:16">
      <c r="A806">
        <v>2005</v>
      </c>
      <c r="B806">
        <v>0</v>
      </c>
      <c r="C806">
        <v>0</v>
      </c>
      <c r="D806">
        <v>0</v>
      </c>
      <c r="E806">
        <v>0</v>
      </c>
      <c r="F806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>
        <v>0</v>
      </c>
      <c r="M806">
        <v>23</v>
      </c>
      <c r="N806" t="s">
        <v>25</v>
      </c>
      <c r="O806" s="8">
        <v>53.05</v>
      </c>
      <c r="P806" s="8">
        <v>-131.78299999999999</v>
      </c>
    </row>
    <row r="807" spans="1:16">
      <c r="A807">
        <v>2006</v>
      </c>
      <c r="B807">
        <v>0</v>
      </c>
      <c r="C807">
        <v>0</v>
      </c>
      <c r="D807">
        <v>0</v>
      </c>
      <c r="E807">
        <v>0</v>
      </c>
      <c r="F807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>
        <v>0</v>
      </c>
      <c r="M807">
        <v>23</v>
      </c>
      <c r="N807" t="s">
        <v>25</v>
      </c>
      <c r="O807" s="8">
        <v>53.05</v>
      </c>
      <c r="P807" s="8">
        <v>-131.78299999999999</v>
      </c>
    </row>
    <row r="808" spans="1:16">
      <c r="A808">
        <v>2007</v>
      </c>
      <c r="B808">
        <v>0</v>
      </c>
      <c r="C808">
        <v>0</v>
      </c>
      <c r="D808">
        <v>0</v>
      </c>
      <c r="E808">
        <v>0</v>
      </c>
      <c r="F808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>
        <v>0</v>
      </c>
      <c r="M808">
        <v>23</v>
      </c>
      <c r="N808" t="s">
        <v>25</v>
      </c>
      <c r="O808" s="8">
        <v>53.05</v>
      </c>
      <c r="P808" s="8">
        <v>-131.78299999999999</v>
      </c>
    </row>
    <row r="809" spans="1:16">
      <c r="A809">
        <v>2008</v>
      </c>
      <c r="B809">
        <v>0</v>
      </c>
      <c r="C809">
        <v>0</v>
      </c>
      <c r="D809">
        <v>0</v>
      </c>
      <c r="E809">
        <v>0</v>
      </c>
      <c r="F809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>
        <v>0</v>
      </c>
      <c r="M809">
        <v>23</v>
      </c>
      <c r="N809" t="s">
        <v>25</v>
      </c>
      <c r="O809" s="8">
        <v>53.05</v>
      </c>
      <c r="P809" s="8">
        <v>-131.78299999999999</v>
      </c>
    </row>
    <row r="810" spans="1:16">
      <c r="A810">
        <v>2009</v>
      </c>
      <c r="B810">
        <v>0</v>
      </c>
      <c r="C810">
        <v>0</v>
      </c>
      <c r="D810">
        <v>0</v>
      </c>
      <c r="E810">
        <v>0</v>
      </c>
      <c r="F810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>
        <v>0</v>
      </c>
      <c r="M810">
        <v>23</v>
      </c>
      <c r="N810" t="s">
        <v>25</v>
      </c>
      <c r="O810" s="8">
        <v>53.05</v>
      </c>
      <c r="P810" s="8">
        <v>-131.78299999999999</v>
      </c>
    </row>
    <row r="811" spans="1:16">
      <c r="A811">
        <v>2010</v>
      </c>
      <c r="B811">
        <v>0</v>
      </c>
      <c r="C811">
        <v>0</v>
      </c>
      <c r="D811">
        <v>0</v>
      </c>
      <c r="E811">
        <v>0</v>
      </c>
      <c r="F811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>
        <v>0</v>
      </c>
      <c r="M811">
        <v>23</v>
      </c>
      <c r="N811" t="s">
        <v>25</v>
      </c>
      <c r="O811" s="8">
        <v>53.05</v>
      </c>
      <c r="P811" s="8">
        <v>-131.78299999999999</v>
      </c>
    </row>
    <row r="812" spans="1:16">
      <c r="A812">
        <v>2011</v>
      </c>
      <c r="B812">
        <v>0</v>
      </c>
      <c r="C812">
        <v>0</v>
      </c>
      <c r="D812">
        <v>0</v>
      </c>
      <c r="E812">
        <v>0</v>
      </c>
      <c r="F812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>
        <v>0</v>
      </c>
      <c r="M812">
        <v>23</v>
      </c>
      <c r="N812" t="s">
        <v>25</v>
      </c>
      <c r="O812" s="8">
        <v>53.05</v>
      </c>
      <c r="P812" s="8">
        <v>-131.78299999999999</v>
      </c>
    </row>
    <row r="813" spans="1:16">
      <c r="A813">
        <v>2012</v>
      </c>
      <c r="B813">
        <v>0</v>
      </c>
      <c r="C813">
        <v>0</v>
      </c>
      <c r="D813">
        <v>0</v>
      </c>
      <c r="E813">
        <v>0</v>
      </c>
      <c r="F813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>
        <v>0</v>
      </c>
      <c r="M813">
        <v>23</v>
      </c>
      <c r="N813" t="s">
        <v>25</v>
      </c>
      <c r="O813" s="8">
        <v>53.05</v>
      </c>
      <c r="P813" s="8">
        <v>-131.78299999999999</v>
      </c>
    </row>
    <row r="814" spans="1:16">
      <c r="A814">
        <v>2013</v>
      </c>
      <c r="B814">
        <v>3</v>
      </c>
      <c r="C814">
        <v>59679</v>
      </c>
      <c r="D814">
        <v>2350</v>
      </c>
      <c r="E814">
        <v>25</v>
      </c>
      <c r="F814">
        <v>0.36</v>
      </c>
      <c r="G814" t="s">
        <v>0</v>
      </c>
      <c r="H814">
        <v>91</v>
      </c>
      <c r="I814">
        <v>91</v>
      </c>
      <c r="J814">
        <v>91</v>
      </c>
      <c r="K814">
        <v>91</v>
      </c>
      <c r="L814">
        <v>0</v>
      </c>
      <c r="M814">
        <v>23</v>
      </c>
      <c r="N814" t="s">
        <v>25</v>
      </c>
      <c r="O814" s="8">
        <v>53.05</v>
      </c>
      <c r="P814" s="8">
        <v>-131.78299999999999</v>
      </c>
    </row>
    <row r="815" spans="1:16">
      <c r="A815">
        <v>1940</v>
      </c>
      <c r="B815">
        <v>1</v>
      </c>
      <c r="C815">
        <v>103098</v>
      </c>
      <c r="D815">
        <v>6435</v>
      </c>
      <c r="E815">
        <v>10</v>
      </c>
      <c r="F815">
        <v>5.3</v>
      </c>
      <c r="G815" t="s">
        <v>0</v>
      </c>
      <c r="H815">
        <v>106</v>
      </c>
      <c r="I815">
        <v>106</v>
      </c>
      <c r="J815">
        <v>106</v>
      </c>
      <c r="K815">
        <v>106</v>
      </c>
      <c r="L815">
        <v>0</v>
      </c>
      <c r="M815">
        <v>24</v>
      </c>
      <c r="N815" t="s">
        <v>27</v>
      </c>
      <c r="O815" s="8">
        <v>52.816699999999997</v>
      </c>
      <c r="P815" s="7">
        <v>-131.583</v>
      </c>
    </row>
    <row r="816" spans="1:16">
      <c r="A816">
        <v>1941</v>
      </c>
      <c r="B816">
        <v>1</v>
      </c>
      <c r="C816">
        <v>103098</v>
      </c>
      <c r="D816">
        <v>6435</v>
      </c>
      <c r="E816">
        <v>10</v>
      </c>
      <c r="F816">
        <v>5.3</v>
      </c>
      <c r="G816" t="s">
        <v>0</v>
      </c>
      <c r="H816">
        <v>95</v>
      </c>
      <c r="I816">
        <v>95</v>
      </c>
      <c r="J816">
        <v>95</v>
      </c>
      <c r="K816">
        <v>95</v>
      </c>
      <c r="L816">
        <v>0</v>
      </c>
      <c r="M816">
        <v>24</v>
      </c>
      <c r="N816" t="s">
        <v>27</v>
      </c>
      <c r="O816" s="8">
        <v>52.816699999999997</v>
      </c>
      <c r="P816" s="7">
        <v>-131.583</v>
      </c>
    </row>
    <row r="817" spans="1:16">
      <c r="A817">
        <v>1942</v>
      </c>
      <c r="B817">
        <v>4</v>
      </c>
      <c r="C817">
        <v>97093</v>
      </c>
      <c r="D817">
        <v>5758</v>
      </c>
      <c r="E817">
        <v>19</v>
      </c>
      <c r="F817">
        <v>7.2</v>
      </c>
      <c r="G817" t="s">
        <v>0</v>
      </c>
      <c r="H817">
        <v>95</v>
      </c>
      <c r="I817" t="s">
        <v>0</v>
      </c>
      <c r="J817">
        <v>95</v>
      </c>
      <c r="K817">
        <v>95</v>
      </c>
      <c r="L817">
        <v>0</v>
      </c>
      <c r="M817">
        <v>24</v>
      </c>
      <c r="N817" t="s">
        <v>27</v>
      </c>
      <c r="O817" s="8">
        <v>52.816699999999997</v>
      </c>
      <c r="P817" s="7">
        <v>-131.583</v>
      </c>
    </row>
    <row r="818" spans="1:16">
      <c r="A818">
        <v>1943</v>
      </c>
      <c r="B818">
        <v>3</v>
      </c>
      <c r="C818">
        <v>172437</v>
      </c>
      <c r="D818">
        <v>9204</v>
      </c>
      <c r="E818">
        <v>24</v>
      </c>
      <c r="F818">
        <v>6.99</v>
      </c>
      <c r="G818" t="s">
        <v>0</v>
      </c>
      <c r="H818">
        <v>103</v>
      </c>
      <c r="I818">
        <v>97.5</v>
      </c>
      <c r="J818">
        <v>91</v>
      </c>
      <c r="K818">
        <v>119</v>
      </c>
      <c r="L818">
        <v>0</v>
      </c>
      <c r="M818">
        <v>24</v>
      </c>
      <c r="N818" t="s">
        <v>27</v>
      </c>
      <c r="O818" s="8">
        <v>52.816699999999997</v>
      </c>
      <c r="P818" s="7">
        <v>-131.583</v>
      </c>
    </row>
    <row r="819" spans="1:16">
      <c r="A819">
        <v>1944</v>
      </c>
      <c r="B819">
        <v>4</v>
      </c>
      <c r="C819">
        <v>349726</v>
      </c>
      <c r="D819">
        <v>16452</v>
      </c>
      <c r="E819">
        <v>18</v>
      </c>
      <c r="F819">
        <v>5.93</v>
      </c>
      <c r="G819" t="s">
        <v>0</v>
      </c>
      <c r="H819">
        <v>98.5</v>
      </c>
      <c r="I819">
        <v>100.7</v>
      </c>
      <c r="J819">
        <v>80</v>
      </c>
      <c r="K819">
        <v>108</v>
      </c>
      <c r="L819">
        <v>0</v>
      </c>
      <c r="M819">
        <v>24</v>
      </c>
      <c r="N819" t="s">
        <v>27</v>
      </c>
      <c r="O819" s="8">
        <v>52.816699999999997</v>
      </c>
      <c r="P819" s="7">
        <v>-131.583</v>
      </c>
    </row>
    <row r="820" spans="1:16">
      <c r="A820">
        <v>1945</v>
      </c>
      <c r="B820">
        <v>4</v>
      </c>
      <c r="C820">
        <v>104988</v>
      </c>
      <c r="D820">
        <v>6553</v>
      </c>
      <c r="E820">
        <v>14</v>
      </c>
      <c r="F820">
        <v>5.93</v>
      </c>
      <c r="G820" t="s">
        <v>0</v>
      </c>
      <c r="H820">
        <v>111</v>
      </c>
      <c r="I820">
        <v>112.8</v>
      </c>
      <c r="J820">
        <v>109</v>
      </c>
      <c r="K820">
        <v>116</v>
      </c>
      <c r="L820">
        <v>0</v>
      </c>
      <c r="M820">
        <v>24</v>
      </c>
      <c r="N820" t="s">
        <v>27</v>
      </c>
      <c r="O820" s="8">
        <v>52.816699999999997</v>
      </c>
      <c r="P820" s="7">
        <v>-131.583</v>
      </c>
    </row>
    <row r="821" spans="1:16">
      <c r="A821">
        <v>1946</v>
      </c>
      <c r="B821">
        <v>14</v>
      </c>
      <c r="C821">
        <v>111207</v>
      </c>
      <c r="D821">
        <v>6847</v>
      </c>
      <c r="E821">
        <v>15</v>
      </c>
      <c r="F821">
        <v>4.93</v>
      </c>
      <c r="G821">
        <v>7.8</v>
      </c>
      <c r="H821">
        <v>114.6</v>
      </c>
      <c r="I821">
        <v>114.8</v>
      </c>
      <c r="J821">
        <v>110</v>
      </c>
      <c r="K821">
        <v>115</v>
      </c>
      <c r="L821">
        <v>0</v>
      </c>
      <c r="M821">
        <v>24</v>
      </c>
      <c r="N821" t="s">
        <v>27</v>
      </c>
      <c r="O821" s="8">
        <v>52.816699999999997</v>
      </c>
      <c r="P821" s="7">
        <v>-131.583</v>
      </c>
    </row>
    <row r="822" spans="1:16">
      <c r="A822">
        <v>1947</v>
      </c>
      <c r="B822">
        <v>13</v>
      </c>
      <c r="C822">
        <v>129742</v>
      </c>
      <c r="D822">
        <v>8098</v>
      </c>
      <c r="E822">
        <v>18</v>
      </c>
      <c r="F822">
        <v>3.9</v>
      </c>
      <c r="G822">
        <v>7.2</v>
      </c>
      <c r="H822">
        <v>94.2</v>
      </c>
      <c r="I822">
        <v>96.3</v>
      </c>
      <c r="J822">
        <v>91</v>
      </c>
      <c r="K822">
        <v>109</v>
      </c>
      <c r="L822">
        <v>0</v>
      </c>
      <c r="M822">
        <v>24</v>
      </c>
      <c r="N822" t="s">
        <v>27</v>
      </c>
      <c r="O822" s="8">
        <v>52.816699999999997</v>
      </c>
      <c r="P822" s="7">
        <v>-131.583</v>
      </c>
    </row>
    <row r="823" spans="1:16">
      <c r="A823">
        <v>1948</v>
      </c>
      <c r="B823">
        <v>1</v>
      </c>
      <c r="C823">
        <v>74259</v>
      </c>
      <c r="D823">
        <v>4635</v>
      </c>
      <c r="E823">
        <v>11</v>
      </c>
      <c r="F823">
        <v>7.83</v>
      </c>
      <c r="G823">
        <v>7.4</v>
      </c>
      <c r="H823">
        <v>116</v>
      </c>
      <c r="I823">
        <v>116</v>
      </c>
      <c r="J823">
        <v>116</v>
      </c>
      <c r="K823">
        <v>116</v>
      </c>
      <c r="L823">
        <v>0</v>
      </c>
      <c r="M823">
        <v>24</v>
      </c>
      <c r="N823" t="s">
        <v>27</v>
      </c>
      <c r="O823" s="8">
        <v>52.816699999999997</v>
      </c>
      <c r="P823" s="7">
        <v>-131.583</v>
      </c>
    </row>
    <row r="824" spans="1:16">
      <c r="A824">
        <v>1949</v>
      </c>
      <c r="B824">
        <v>1</v>
      </c>
      <c r="C824">
        <v>51541</v>
      </c>
      <c r="D824">
        <v>3217</v>
      </c>
      <c r="E824">
        <v>9</v>
      </c>
      <c r="F824">
        <v>2.74</v>
      </c>
      <c r="G824">
        <v>6.2</v>
      </c>
      <c r="H824">
        <v>102</v>
      </c>
      <c r="I824">
        <v>102</v>
      </c>
      <c r="J824">
        <v>102</v>
      </c>
      <c r="K824">
        <v>102</v>
      </c>
      <c r="L824">
        <v>0</v>
      </c>
      <c r="M824">
        <v>24</v>
      </c>
      <c r="N824" t="s">
        <v>27</v>
      </c>
      <c r="O824" s="8">
        <v>52.816699999999997</v>
      </c>
      <c r="P824" s="7">
        <v>-131.583</v>
      </c>
    </row>
    <row r="825" spans="1:16">
      <c r="A825">
        <v>1950</v>
      </c>
      <c r="B825">
        <v>3</v>
      </c>
      <c r="C825">
        <v>50371</v>
      </c>
      <c r="D825">
        <v>2741</v>
      </c>
      <c r="E825">
        <v>15</v>
      </c>
      <c r="F825">
        <v>2.74</v>
      </c>
      <c r="G825">
        <v>7.2</v>
      </c>
      <c r="H825">
        <v>129.30000000000001</v>
      </c>
      <c r="I825">
        <v>129.4</v>
      </c>
      <c r="J825">
        <v>128</v>
      </c>
      <c r="K825">
        <v>130</v>
      </c>
      <c r="L825">
        <v>0</v>
      </c>
      <c r="M825">
        <v>24</v>
      </c>
      <c r="N825" t="s">
        <v>27</v>
      </c>
      <c r="O825" s="8">
        <v>52.816699999999997</v>
      </c>
      <c r="P825" s="7">
        <v>-131.583</v>
      </c>
    </row>
    <row r="826" spans="1:16">
      <c r="A826">
        <v>1951</v>
      </c>
      <c r="B826">
        <v>0</v>
      </c>
      <c r="C826">
        <v>0</v>
      </c>
      <c r="D826">
        <v>0</v>
      </c>
      <c r="E826">
        <v>0</v>
      </c>
      <c r="F826">
        <v>0</v>
      </c>
      <c r="G826" t="s">
        <v>0</v>
      </c>
      <c r="H826" t="s">
        <v>0</v>
      </c>
      <c r="I826" t="s">
        <v>0</v>
      </c>
      <c r="J826" t="s">
        <v>0</v>
      </c>
      <c r="K826" t="s">
        <v>0</v>
      </c>
      <c r="L826">
        <v>0</v>
      </c>
      <c r="M826">
        <v>24</v>
      </c>
      <c r="N826" t="s">
        <v>27</v>
      </c>
      <c r="O826" s="8">
        <v>52.816699999999997</v>
      </c>
      <c r="P826" s="7">
        <v>-131.583</v>
      </c>
    </row>
    <row r="827" spans="1:16">
      <c r="A827">
        <v>1952</v>
      </c>
      <c r="B827">
        <v>1</v>
      </c>
      <c r="C827">
        <v>5127</v>
      </c>
      <c r="D827">
        <v>320</v>
      </c>
      <c r="E827">
        <v>5</v>
      </c>
      <c r="F827">
        <v>2.96</v>
      </c>
      <c r="G827">
        <v>7.2</v>
      </c>
      <c r="H827">
        <v>120</v>
      </c>
      <c r="I827">
        <v>120</v>
      </c>
      <c r="J827">
        <v>120</v>
      </c>
      <c r="K827">
        <v>120</v>
      </c>
      <c r="L827">
        <v>0</v>
      </c>
      <c r="M827">
        <v>24</v>
      </c>
      <c r="N827" t="s">
        <v>27</v>
      </c>
      <c r="O827" s="8">
        <v>52.816699999999997</v>
      </c>
      <c r="P827" s="7">
        <v>-131.583</v>
      </c>
    </row>
    <row r="828" spans="1:16">
      <c r="A828">
        <v>1953</v>
      </c>
      <c r="B828">
        <v>3</v>
      </c>
      <c r="C828">
        <v>52464</v>
      </c>
      <c r="D828">
        <v>2468</v>
      </c>
      <c r="E828">
        <v>18</v>
      </c>
      <c r="F828">
        <v>1.08</v>
      </c>
      <c r="G828" t="s">
        <v>0</v>
      </c>
      <c r="H828">
        <v>121.3</v>
      </c>
      <c r="I828">
        <v>121.6</v>
      </c>
      <c r="J828">
        <v>121</v>
      </c>
      <c r="K828">
        <v>122</v>
      </c>
      <c r="L828">
        <v>0</v>
      </c>
      <c r="M828">
        <v>24</v>
      </c>
      <c r="N828" t="s">
        <v>27</v>
      </c>
      <c r="O828" s="8">
        <v>52.816699999999997</v>
      </c>
      <c r="P828" s="7">
        <v>-131.583</v>
      </c>
    </row>
    <row r="829" spans="1:16">
      <c r="A829">
        <v>1954</v>
      </c>
      <c r="B829">
        <v>4</v>
      </c>
      <c r="C829">
        <v>243368</v>
      </c>
      <c r="D829">
        <v>13846</v>
      </c>
      <c r="E829">
        <v>12</v>
      </c>
      <c r="F829">
        <v>2.15</v>
      </c>
      <c r="G829" t="s">
        <v>0</v>
      </c>
      <c r="H829">
        <v>111.8</v>
      </c>
      <c r="I829">
        <v>111.3</v>
      </c>
      <c r="J829">
        <v>105</v>
      </c>
      <c r="K829">
        <v>127</v>
      </c>
      <c r="L829">
        <v>0</v>
      </c>
      <c r="M829">
        <v>24</v>
      </c>
      <c r="N829" t="s">
        <v>27</v>
      </c>
      <c r="O829" s="8">
        <v>52.816699999999997</v>
      </c>
      <c r="P829" s="7">
        <v>-131.583</v>
      </c>
    </row>
    <row r="830" spans="1:16">
      <c r="A830">
        <v>1955</v>
      </c>
      <c r="B830">
        <v>0</v>
      </c>
      <c r="C830">
        <v>0</v>
      </c>
      <c r="D830">
        <v>0</v>
      </c>
      <c r="E830">
        <v>0</v>
      </c>
      <c r="F830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>
        <v>0</v>
      </c>
      <c r="M830">
        <v>24</v>
      </c>
      <c r="N830" t="s">
        <v>27</v>
      </c>
      <c r="O830" s="8">
        <v>52.816699999999997</v>
      </c>
      <c r="P830" s="7">
        <v>-131.583</v>
      </c>
    </row>
    <row r="831" spans="1:16">
      <c r="A831">
        <v>1956</v>
      </c>
      <c r="B831">
        <v>0</v>
      </c>
      <c r="C831">
        <v>0</v>
      </c>
      <c r="D831">
        <v>0</v>
      </c>
      <c r="E831">
        <v>0</v>
      </c>
      <c r="F831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>
        <v>0</v>
      </c>
      <c r="M831">
        <v>24</v>
      </c>
      <c r="N831" t="s">
        <v>27</v>
      </c>
      <c r="O831" s="8">
        <v>52.816699999999997</v>
      </c>
      <c r="P831" s="7">
        <v>-131.583</v>
      </c>
    </row>
    <row r="832" spans="1:16">
      <c r="A832">
        <v>1957</v>
      </c>
      <c r="B832">
        <v>0</v>
      </c>
      <c r="C832">
        <v>0</v>
      </c>
      <c r="D832">
        <v>0</v>
      </c>
      <c r="E832">
        <v>0</v>
      </c>
      <c r="F832">
        <v>0</v>
      </c>
      <c r="G832" t="s">
        <v>0</v>
      </c>
      <c r="H832" t="s">
        <v>0</v>
      </c>
      <c r="I832" t="s">
        <v>0</v>
      </c>
      <c r="J832" t="s">
        <v>0</v>
      </c>
      <c r="K832" t="s">
        <v>0</v>
      </c>
      <c r="L832">
        <v>0</v>
      </c>
      <c r="M832">
        <v>24</v>
      </c>
      <c r="N832" t="s">
        <v>27</v>
      </c>
      <c r="O832" s="8">
        <v>52.816699999999997</v>
      </c>
      <c r="P832" s="7">
        <v>-131.583</v>
      </c>
    </row>
    <row r="833" spans="1:16">
      <c r="A833">
        <v>1958</v>
      </c>
      <c r="B833">
        <v>0</v>
      </c>
      <c r="C833">
        <v>0</v>
      </c>
      <c r="D833">
        <v>0</v>
      </c>
      <c r="E833">
        <v>0</v>
      </c>
      <c r="F833">
        <v>0</v>
      </c>
      <c r="G833" t="s">
        <v>0</v>
      </c>
      <c r="H833" t="s">
        <v>0</v>
      </c>
      <c r="I833" t="s">
        <v>0</v>
      </c>
      <c r="J833" t="s">
        <v>0</v>
      </c>
      <c r="K833" t="s">
        <v>0</v>
      </c>
      <c r="L833">
        <v>0</v>
      </c>
      <c r="M833">
        <v>24</v>
      </c>
      <c r="N833" t="s">
        <v>27</v>
      </c>
      <c r="O833" s="8">
        <v>52.816699999999997</v>
      </c>
      <c r="P833" s="7">
        <v>-131.583</v>
      </c>
    </row>
    <row r="834" spans="1:16">
      <c r="A834">
        <v>1959</v>
      </c>
      <c r="B834">
        <v>1</v>
      </c>
      <c r="C834">
        <v>87566</v>
      </c>
      <c r="D834">
        <v>5667</v>
      </c>
      <c r="E834">
        <v>11</v>
      </c>
      <c r="F834">
        <v>4.13</v>
      </c>
      <c r="G834">
        <v>8.3000000000000007</v>
      </c>
      <c r="H834">
        <v>108</v>
      </c>
      <c r="I834">
        <v>108</v>
      </c>
      <c r="J834">
        <v>108</v>
      </c>
      <c r="K834">
        <v>108</v>
      </c>
      <c r="L834">
        <v>0</v>
      </c>
      <c r="M834">
        <v>24</v>
      </c>
      <c r="N834" t="s">
        <v>27</v>
      </c>
      <c r="O834" s="8">
        <v>52.816699999999997</v>
      </c>
      <c r="P834" s="7">
        <v>-131.583</v>
      </c>
    </row>
    <row r="835" spans="1:16">
      <c r="A835">
        <v>1960</v>
      </c>
      <c r="B835">
        <v>1</v>
      </c>
      <c r="C835">
        <v>11295</v>
      </c>
      <c r="D835">
        <v>731</v>
      </c>
      <c r="E835">
        <v>27</v>
      </c>
      <c r="F835">
        <v>2.96</v>
      </c>
      <c r="G835">
        <v>8.1999999999999993</v>
      </c>
      <c r="H835">
        <v>115</v>
      </c>
      <c r="I835">
        <v>115</v>
      </c>
      <c r="J835">
        <v>115</v>
      </c>
      <c r="K835">
        <v>115</v>
      </c>
      <c r="L835">
        <v>0</v>
      </c>
      <c r="M835">
        <v>24</v>
      </c>
      <c r="N835" t="s">
        <v>27</v>
      </c>
      <c r="O835" s="8">
        <v>52.816699999999997</v>
      </c>
      <c r="P835" s="7">
        <v>-131.583</v>
      </c>
    </row>
    <row r="836" spans="1:16">
      <c r="A836">
        <v>1961</v>
      </c>
      <c r="B836">
        <v>0</v>
      </c>
      <c r="C836">
        <v>0</v>
      </c>
      <c r="D836">
        <v>0</v>
      </c>
      <c r="E836">
        <v>0</v>
      </c>
      <c r="F836">
        <v>0</v>
      </c>
      <c r="G836" t="s">
        <v>0</v>
      </c>
      <c r="H836" t="s">
        <v>0</v>
      </c>
      <c r="I836" t="s">
        <v>0</v>
      </c>
      <c r="J836" t="s">
        <v>0</v>
      </c>
      <c r="K836" t="s">
        <v>0</v>
      </c>
      <c r="L836">
        <v>0</v>
      </c>
      <c r="M836">
        <v>24</v>
      </c>
      <c r="N836" t="s">
        <v>27</v>
      </c>
      <c r="O836" s="8">
        <v>52.816699999999997</v>
      </c>
      <c r="P836" s="7">
        <v>-131.583</v>
      </c>
    </row>
    <row r="837" spans="1:16">
      <c r="A837">
        <v>1962</v>
      </c>
      <c r="B837">
        <v>1</v>
      </c>
      <c r="C837">
        <v>8780</v>
      </c>
      <c r="D837">
        <v>548</v>
      </c>
      <c r="E837">
        <v>9</v>
      </c>
      <c r="F837">
        <v>1.34</v>
      </c>
      <c r="G837">
        <v>6.3</v>
      </c>
      <c r="H837">
        <v>81</v>
      </c>
      <c r="I837">
        <v>81</v>
      </c>
      <c r="J837">
        <v>81</v>
      </c>
      <c r="K837">
        <v>81</v>
      </c>
      <c r="L837">
        <v>0</v>
      </c>
      <c r="M837">
        <v>24</v>
      </c>
      <c r="N837" t="s">
        <v>27</v>
      </c>
      <c r="O837" s="8">
        <v>52.816699999999997</v>
      </c>
      <c r="P837" s="7">
        <v>-131.583</v>
      </c>
    </row>
    <row r="838" spans="1:16">
      <c r="A838">
        <v>1963</v>
      </c>
      <c r="B838">
        <v>1</v>
      </c>
      <c r="C838">
        <v>2932</v>
      </c>
      <c r="D838">
        <v>183</v>
      </c>
      <c r="E838">
        <v>9</v>
      </c>
      <c r="F838">
        <v>1.34</v>
      </c>
      <c r="G838">
        <v>8.9</v>
      </c>
      <c r="H838">
        <v>111</v>
      </c>
      <c r="I838">
        <v>111</v>
      </c>
      <c r="J838">
        <v>111</v>
      </c>
      <c r="K838">
        <v>111</v>
      </c>
      <c r="L838">
        <v>0</v>
      </c>
      <c r="M838">
        <v>24</v>
      </c>
      <c r="N838" t="s">
        <v>27</v>
      </c>
      <c r="O838" s="8">
        <v>52.816699999999997</v>
      </c>
      <c r="P838" s="7">
        <v>-131.583</v>
      </c>
    </row>
    <row r="839" spans="1:16">
      <c r="A839">
        <v>1964</v>
      </c>
      <c r="B839">
        <v>0</v>
      </c>
      <c r="C839">
        <v>0</v>
      </c>
      <c r="D839">
        <v>0</v>
      </c>
      <c r="E839">
        <v>0</v>
      </c>
      <c r="F839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>
        <v>0</v>
      </c>
      <c r="M839">
        <v>24</v>
      </c>
      <c r="N839" t="s">
        <v>27</v>
      </c>
      <c r="O839" s="8">
        <v>52.816699999999997</v>
      </c>
      <c r="P839" s="7">
        <v>-131.583</v>
      </c>
    </row>
    <row r="840" spans="1:16">
      <c r="A840">
        <v>1965</v>
      </c>
      <c r="B840">
        <v>2</v>
      </c>
      <c r="C840">
        <v>29287</v>
      </c>
      <c r="D840">
        <v>1828</v>
      </c>
      <c r="E840">
        <v>7</v>
      </c>
      <c r="F840">
        <v>2.96</v>
      </c>
      <c r="G840">
        <v>6.7</v>
      </c>
      <c r="H840">
        <v>87</v>
      </c>
      <c r="I840">
        <v>86.5</v>
      </c>
      <c r="J840">
        <v>86</v>
      </c>
      <c r="K840">
        <v>88</v>
      </c>
      <c r="L840">
        <v>0</v>
      </c>
      <c r="M840">
        <v>24</v>
      </c>
      <c r="N840" t="s">
        <v>27</v>
      </c>
      <c r="O840" s="8">
        <v>52.816699999999997</v>
      </c>
      <c r="P840" s="7">
        <v>-131.583</v>
      </c>
    </row>
    <row r="841" spans="1:16">
      <c r="A841">
        <v>1966</v>
      </c>
      <c r="B841">
        <v>1</v>
      </c>
      <c r="C841">
        <v>8780</v>
      </c>
      <c r="D841">
        <v>548</v>
      </c>
      <c r="E841">
        <v>6</v>
      </c>
      <c r="F841">
        <v>1.34</v>
      </c>
      <c r="G841">
        <v>8.1</v>
      </c>
      <c r="H841">
        <v>95</v>
      </c>
      <c r="I841">
        <v>95</v>
      </c>
      <c r="J841">
        <v>95</v>
      </c>
      <c r="K841">
        <v>95</v>
      </c>
      <c r="L841">
        <v>0</v>
      </c>
      <c r="M841">
        <v>24</v>
      </c>
      <c r="N841" t="s">
        <v>27</v>
      </c>
      <c r="O841" s="8">
        <v>52.816699999999997</v>
      </c>
      <c r="P841" s="7">
        <v>-131.583</v>
      </c>
    </row>
    <row r="842" spans="1:16">
      <c r="A842">
        <v>1967</v>
      </c>
      <c r="B842">
        <v>1</v>
      </c>
      <c r="C842">
        <v>2932</v>
      </c>
      <c r="D842">
        <v>183</v>
      </c>
      <c r="E842">
        <v>1</v>
      </c>
      <c r="F842">
        <v>2.96</v>
      </c>
      <c r="G842">
        <v>7.4</v>
      </c>
      <c r="H842">
        <v>107</v>
      </c>
      <c r="I842">
        <v>107</v>
      </c>
      <c r="J842">
        <v>107</v>
      </c>
      <c r="K842">
        <v>107</v>
      </c>
      <c r="L842">
        <v>0</v>
      </c>
      <c r="M842">
        <v>24</v>
      </c>
      <c r="N842" t="s">
        <v>27</v>
      </c>
      <c r="O842" s="8">
        <v>52.816699999999997</v>
      </c>
      <c r="P842" s="7">
        <v>-131.583</v>
      </c>
    </row>
    <row r="843" spans="1:16">
      <c r="A843">
        <v>1968</v>
      </c>
      <c r="B843">
        <v>0</v>
      </c>
      <c r="C843">
        <v>0</v>
      </c>
      <c r="D843">
        <v>0</v>
      </c>
      <c r="E843">
        <v>0</v>
      </c>
      <c r="F843">
        <v>0</v>
      </c>
      <c r="G843" t="s">
        <v>0</v>
      </c>
      <c r="H843" t="s">
        <v>0</v>
      </c>
      <c r="I843" t="s">
        <v>0</v>
      </c>
      <c r="J843" t="s">
        <v>0</v>
      </c>
      <c r="K843" t="s">
        <v>0</v>
      </c>
      <c r="L843">
        <v>0</v>
      </c>
      <c r="M843">
        <v>24</v>
      </c>
      <c r="N843" t="s">
        <v>27</v>
      </c>
      <c r="O843" s="8">
        <v>52.816699999999997</v>
      </c>
      <c r="P843" s="7">
        <v>-131.583</v>
      </c>
    </row>
    <row r="844" spans="1:16">
      <c r="A844">
        <v>1969</v>
      </c>
      <c r="B844">
        <v>0</v>
      </c>
      <c r="C844">
        <v>0</v>
      </c>
      <c r="D844">
        <v>0</v>
      </c>
      <c r="E844">
        <v>0</v>
      </c>
      <c r="F844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>
        <v>0</v>
      </c>
      <c r="M844">
        <v>24</v>
      </c>
      <c r="N844" t="s">
        <v>27</v>
      </c>
      <c r="O844" s="8">
        <v>52.816699999999997</v>
      </c>
      <c r="P844" s="7">
        <v>-131.583</v>
      </c>
    </row>
    <row r="845" spans="1:16">
      <c r="A845">
        <v>1970</v>
      </c>
      <c r="B845">
        <v>1</v>
      </c>
      <c r="C845">
        <v>3809</v>
      </c>
      <c r="D845">
        <v>137</v>
      </c>
      <c r="E845">
        <v>5</v>
      </c>
      <c r="F845">
        <v>2.96</v>
      </c>
      <c r="G845">
        <v>7.9</v>
      </c>
      <c r="H845">
        <v>102</v>
      </c>
      <c r="I845">
        <v>102</v>
      </c>
      <c r="J845">
        <v>102</v>
      </c>
      <c r="K845">
        <v>102</v>
      </c>
      <c r="L845">
        <v>0</v>
      </c>
      <c r="M845">
        <v>24</v>
      </c>
      <c r="N845" t="s">
        <v>27</v>
      </c>
      <c r="O845" s="8">
        <v>52.816699999999997</v>
      </c>
      <c r="P845" s="7">
        <v>-131.583</v>
      </c>
    </row>
    <row r="846" spans="1:16">
      <c r="A846">
        <v>1971</v>
      </c>
      <c r="B846">
        <v>0</v>
      </c>
      <c r="C846">
        <v>0</v>
      </c>
      <c r="D846">
        <v>0</v>
      </c>
      <c r="E846">
        <v>0</v>
      </c>
      <c r="F846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>
        <v>0</v>
      </c>
      <c r="M846">
        <v>24</v>
      </c>
      <c r="N846" t="s">
        <v>27</v>
      </c>
      <c r="O846" s="8">
        <v>52.816699999999997</v>
      </c>
      <c r="P846" s="7">
        <v>-131.583</v>
      </c>
    </row>
    <row r="847" spans="1:16">
      <c r="A847">
        <v>1972</v>
      </c>
      <c r="B847">
        <v>1</v>
      </c>
      <c r="C847">
        <v>12449</v>
      </c>
      <c r="D847">
        <v>777</v>
      </c>
      <c r="E847">
        <v>18</v>
      </c>
      <c r="F847">
        <v>1.34</v>
      </c>
      <c r="G847">
        <v>7.1</v>
      </c>
      <c r="H847">
        <v>114</v>
      </c>
      <c r="I847">
        <v>114</v>
      </c>
      <c r="J847">
        <v>114</v>
      </c>
      <c r="K847">
        <v>114</v>
      </c>
      <c r="L847">
        <v>0</v>
      </c>
      <c r="M847">
        <v>24</v>
      </c>
      <c r="N847" t="s">
        <v>27</v>
      </c>
      <c r="O847" s="8">
        <v>52.816699999999997</v>
      </c>
      <c r="P847" s="7">
        <v>-131.583</v>
      </c>
    </row>
    <row r="848" spans="1:16">
      <c r="A848">
        <v>1973</v>
      </c>
      <c r="B848">
        <v>0</v>
      </c>
      <c r="C848">
        <v>0</v>
      </c>
      <c r="D848">
        <v>0</v>
      </c>
      <c r="E848">
        <v>0</v>
      </c>
      <c r="F848">
        <v>0</v>
      </c>
      <c r="G848" t="s">
        <v>0</v>
      </c>
      <c r="H848" t="s">
        <v>0</v>
      </c>
      <c r="I848" t="s">
        <v>0</v>
      </c>
      <c r="J848" t="s">
        <v>0</v>
      </c>
      <c r="K848" t="s">
        <v>0</v>
      </c>
      <c r="L848">
        <v>0</v>
      </c>
      <c r="M848">
        <v>24</v>
      </c>
      <c r="N848" t="s">
        <v>27</v>
      </c>
      <c r="O848" s="8">
        <v>52.816699999999997</v>
      </c>
      <c r="P848" s="7">
        <v>-131.583</v>
      </c>
    </row>
    <row r="849" spans="1:16">
      <c r="A849">
        <v>1974</v>
      </c>
      <c r="B849">
        <v>0</v>
      </c>
      <c r="C849">
        <v>0</v>
      </c>
      <c r="D849">
        <v>0</v>
      </c>
      <c r="E849">
        <v>0</v>
      </c>
      <c r="F849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>
        <v>0</v>
      </c>
      <c r="M849">
        <v>24</v>
      </c>
      <c r="N849" t="s">
        <v>27</v>
      </c>
      <c r="O849" s="8">
        <v>52.816699999999997</v>
      </c>
      <c r="P849" s="7">
        <v>-131.583</v>
      </c>
    </row>
    <row r="850" spans="1:16">
      <c r="A850">
        <v>1975</v>
      </c>
      <c r="B850">
        <v>0</v>
      </c>
      <c r="C850">
        <v>0</v>
      </c>
      <c r="D850">
        <v>0</v>
      </c>
      <c r="E850">
        <v>0</v>
      </c>
      <c r="F850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>
        <v>0</v>
      </c>
      <c r="M850">
        <v>24</v>
      </c>
      <c r="N850" t="s">
        <v>27</v>
      </c>
      <c r="O850" s="8">
        <v>52.816699999999997</v>
      </c>
      <c r="P850" s="7">
        <v>-131.583</v>
      </c>
    </row>
    <row r="851" spans="1:16">
      <c r="A851">
        <v>1976</v>
      </c>
      <c r="B851">
        <v>3</v>
      </c>
      <c r="C851">
        <v>30745</v>
      </c>
      <c r="D851">
        <v>1919</v>
      </c>
      <c r="E851">
        <v>9</v>
      </c>
      <c r="F851">
        <v>3.2</v>
      </c>
      <c r="G851">
        <v>6.7</v>
      </c>
      <c r="H851">
        <v>111</v>
      </c>
      <c r="I851">
        <v>111</v>
      </c>
      <c r="J851">
        <v>111</v>
      </c>
      <c r="K851">
        <v>111</v>
      </c>
      <c r="L851">
        <v>0</v>
      </c>
      <c r="M851">
        <v>24</v>
      </c>
      <c r="N851" t="s">
        <v>27</v>
      </c>
      <c r="O851" s="8">
        <v>52.816699999999997</v>
      </c>
      <c r="P851" s="7">
        <v>-131.583</v>
      </c>
    </row>
    <row r="852" spans="1:16">
      <c r="A852">
        <v>1977</v>
      </c>
      <c r="B852">
        <v>0</v>
      </c>
      <c r="C852">
        <v>0</v>
      </c>
      <c r="D852">
        <v>0</v>
      </c>
      <c r="E852">
        <v>0</v>
      </c>
      <c r="F852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>
        <v>0</v>
      </c>
      <c r="M852">
        <v>24</v>
      </c>
      <c r="N852" t="s">
        <v>27</v>
      </c>
      <c r="O852" s="8">
        <v>52.816699999999997</v>
      </c>
      <c r="P852" s="7">
        <v>-131.583</v>
      </c>
    </row>
    <row r="853" spans="1:16">
      <c r="A853">
        <v>1978</v>
      </c>
      <c r="B853">
        <v>1</v>
      </c>
      <c r="C853">
        <v>26355</v>
      </c>
      <c r="D853">
        <v>1645</v>
      </c>
      <c r="E853">
        <v>6</v>
      </c>
      <c r="F853">
        <v>1</v>
      </c>
      <c r="G853">
        <v>8.6999999999999993</v>
      </c>
      <c r="H853">
        <v>109</v>
      </c>
      <c r="I853">
        <v>109</v>
      </c>
      <c r="J853">
        <v>109</v>
      </c>
      <c r="K853">
        <v>109</v>
      </c>
      <c r="L853">
        <v>0</v>
      </c>
      <c r="M853">
        <v>24</v>
      </c>
      <c r="N853" t="s">
        <v>27</v>
      </c>
      <c r="O853" s="8">
        <v>52.816699999999997</v>
      </c>
      <c r="P853" s="7">
        <v>-131.583</v>
      </c>
    </row>
    <row r="854" spans="1:16">
      <c r="A854">
        <v>1979</v>
      </c>
      <c r="B854">
        <v>16</v>
      </c>
      <c r="C854">
        <v>67799</v>
      </c>
      <c r="D854">
        <v>4274</v>
      </c>
      <c r="E854">
        <v>10</v>
      </c>
      <c r="F854">
        <v>2.06</v>
      </c>
      <c r="G854">
        <v>8.3000000000000007</v>
      </c>
      <c r="H854">
        <v>117.3</v>
      </c>
      <c r="I854">
        <v>117.4</v>
      </c>
      <c r="J854">
        <v>105</v>
      </c>
      <c r="K854">
        <v>119</v>
      </c>
      <c r="L854">
        <v>0</v>
      </c>
      <c r="M854">
        <v>24</v>
      </c>
      <c r="N854" t="s">
        <v>27</v>
      </c>
      <c r="O854" s="8">
        <v>52.816699999999997</v>
      </c>
      <c r="P854" s="7">
        <v>-131.583</v>
      </c>
    </row>
    <row r="855" spans="1:16">
      <c r="A855">
        <v>1980</v>
      </c>
      <c r="B855">
        <v>6</v>
      </c>
      <c r="C855">
        <v>99170</v>
      </c>
      <c r="D855">
        <v>6418</v>
      </c>
      <c r="E855">
        <v>16</v>
      </c>
      <c r="F855">
        <v>2.6</v>
      </c>
      <c r="G855">
        <v>8.1999999999999993</v>
      </c>
      <c r="H855">
        <v>107.8</v>
      </c>
      <c r="I855">
        <v>109.9</v>
      </c>
      <c r="J855">
        <v>106</v>
      </c>
      <c r="K855">
        <v>117</v>
      </c>
      <c r="L855">
        <v>0</v>
      </c>
      <c r="M855">
        <v>24</v>
      </c>
      <c r="N855" t="s">
        <v>27</v>
      </c>
      <c r="O855" s="8">
        <v>52.816699999999997</v>
      </c>
      <c r="P855" s="7">
        <v>-131.583</v>
      </c>
    </row>
    <row r="856" spans="1:16">
      <c r="A856">
        <v>1981</v>
      </c>
      <c r="B856">
        <v>40</v>
      </c>
      <c r="C856">
        <v>223164</v>
      </c>
      <c r="D856">
        <v>14076</v>
      </c>
      <c r="E856">
        <v>23</v>
      </c>
      <c r="F856">
        <v>3.2</v>
      </c>
      <c r="G856">
        <v>8.5</v>
      </c>
      <c r="H856">
        <v>102.8</v>
      </c>
      <c r="I856">
        <v>104</v>
      </c>
      <c r="J856">
        <v>97</v>
      </c>
      <c r="K856">
        <v>106</v>
      </c>
      <c r="L856">
        <v>0</v>
      </c>
      <c r="M856">
        <v>24</v>
      </c>
      <c r="N856" t="s">
        <v>27</v>
      </c>
      <c r="O856" s="8">
        <v>52.816699999999997</v>
      </c>
      <c r="P856" s="7">
        <v>-131.583</v>
      </c>
    </row>
    <row r="857" spans="1:16">
      <c r="A857">
        <v>1982</v>
      </c>
      <c r="B857">
        <v>8</v>
      </c>
      <c r="C857">
        <v>89768</v>
      </c>
      <c r="D857">
        <v>5603</v>
      </c>
      <c r="E857">
        <v>21</v>
      </c>
      <c r="F857">
        <v>2.85</v>
      </c>
      <c r="G857">
        <v>7.8</v>
      </c>
      <c r="H857">
        <v>94.9</v>
      </c>
      <c r="I857">
        <v>94.8</v>
      </c>
      <c r="J857">
        <v>94</v>
      </c>
      <c r="K857">
        <v>95</v>
      </c>
      <c r="L857">
        <v>0</v>
      </c>
      <c r="M857">
        <v>24</v>
      </c>
      <c r="N857" t="s">
        <v>27</v>
      </c>
      <c r="O857" s="8">
        <v>52.816699999999997</v>
      </c>
      <c r="P857" s="7">
        <v>-131.583</v>
      </c>
    </row>
    <row r="858" spans="1:16">
      <c r="A858">
        <v>1983</v>
      </c>
      <c r="B858">
        <v>41</v>
      </c>
      <c r="C858">
        <v>313724</v>
      </c>
      <c r="D858">
        <v>16416</v>
      </c>
      <c r="E858">
        <v>16</v>
      </c>
      <c r="F858">
        <v>3.19</v>
      </c>
      <c r="G858">
        <v>9</v>
      </c>
      <c r="H858">
        <v>96.1</v>
      </c>
      <c r="I858">
        <v>97.1</v>
      </c>
      <c r="J858">
        <v>95</v>
      </c>
      <c r="K858">
        <v>104</v>
      </c>
      <c r="L858">
        <v>0</v>
      </c>
      <c r="M858">
        <v>24</v>
      </c>
      <c r="N858" t="s">
        <v>27</v>
      </c>
      <c r="O858" s="8">
        <v>52.816699999999997</v>
      </c>
      <c r="P858" s="7">
        <v>-131.583</v>
      </c>
    </row>
    <row r="859" spans="1:16">
      <c r="A859">
        <v>1984</v>
      </c>
      <c r="B859">
        <v>31</v>
      </c>
      <c r="C859">
        <v>186650</v>
      </c>
      <c r="D859">
        <v>11650</v>
      </c>
      <c r="E859">
        <v>12</v>
      </c>
      <c r="F859">
        <v>2.8</v>
      </c>
      <c r="G859">
        <v>8.3000000000000007</v>
      </c>
      <c r="H859">
        <v>106.7</v>
      </c>
      <c r="I859">
        <v>104.1</v>
      </c>
      <c r="J859">
        <v>102</v>
      </c>
      <c r="K859">
        <v>149</v>
      </c>
      <c r="L859">
        <v>0</v>
      </c>
      <c r="M859">
        <v>24</v>
      </c>
      <c r="N859" t="s">
        <v>27</v>
      </c>
      <c r="O859" s="8">
        <v>52.816699999999997</v>
      </c>
      <c r="P859" s="7">
        <v>-131.583</v>
      </c>
    </row>
    <row r="860" spans="1:16">
      <c r="A860">
        <v>1985</v>
      </c>
      <c r="B860">
        <v>3</v>
      </c>
      <c r="C860">
        <v>84113</v>
      </c>
      <c r="D860">
        <v>5250</v>
      </c>
      <c r="E860">
        <v>31</v>
      </c>
      <c r="F860">
        <v>2.33</v>
      </c>
      <c r="G860">
        <v>7.4</v>
      </c>
      <c r="H860">
        <v>105</v>
      </c>
      <c r="I860">
        <v>105</v>
      </c>
      <c r="J860">
        <v>105</v>
      </c>
      <c r="K860">
        <v>105</v>
      </c>
      <c r="L860">
        <v>0</v>
      </c>
      <c r="M860">
        <v>24</v>
      </c>
      <c r="N860" t="s">
        <v>27</v>
      </c>
      <c r="O860" s="8">
        <v>52.816699999999997</v>
      </c>
      <c r="P860" s="7">
        <v>-131.583</v>
      </c>
    </row>
    <row r="861" spans="1:16">
      <c r="A861">
        <v>1986</v>
      </c>
      <c r="B861">
        <v>20</v>
      </c>
      <c r="C861">
        <v>78585</v>
      </c>
      <c r="D861">
        <v>4905</v>
      </c>
      <c r="E861">
        <v>7</v>
      </c>
      <c r="F861">
        <v>3.08</v>
      </c>
      <c r="G861">
        <v>7.7</v>
      </c>
      <c r="H861">
        <v>117.4</v>
      </c>
      <c r="I861">
        <v>118.9</v>
      </c>
      <c r="J861">
        <v>109</v>
      </c>
      <c r="K861">
        <v>121</v>
      </c>
      <c r="L861">
        <v>0</v>
      </c>
      <c r="M861">
        <v>24</v>
      </c>
      <c r="N861" t="s">
        <v>27</v>
      </c>
      <c r="O861" s="8">
        <v>52.816699999999997</v>
      </c>
      <c r="P861" s="7">
        <v>-131.583</v>
      </c>
    </row>
    <row r="862" spans="1:16">
      <c r="A862">
        <v>1987</v>
      </c>
      <c r="B862">
        <v>7</v>
      </c>
      <c r="C862">
        <v>114153</v>
      </c>
      <c r="D862">
        <v>7125</v>
      </c>
      <c r="E862">
        <v>5</v>
      </c>
      <c r="F862">
        <v>0.94</v>
      </c>
      <c r="G862">
        <v>8.4</v>
      </c>
      <c r="H862">
        <v>108</v>
      </c>
      <c r="I862">
        <v>108</v>
      </c>
      <c r="J862">
        <v>108</v>
      </c>
      <c r="K862">
        <v>108</v>
      </c>
      <c r="L862">
        <v>0</v>
      </c>
      <c r="M862">
        <v>24</v>
      </c>
      <c r="N862" t="s">
        <v>27</v>
      </c>
      <c r="O862" s="8">
        <v>52.816699999999997</v>
      </c>
      <c r="P862" s="7">
        <v>-131.583</v>
      </c>
    </row>
    <row r="863" spans="1:16">
      <c r="A863">
        <v>1988</v>
      </c>
      <c r="B863">
        <v>4</v>
      </c>
      <c r="C863">
        <v>254420</v>
      </c>
      <c r="D863">
        <v>15880</v>
      </c>
      <c r="E863">
        <v>26</v>
      </c>
      <c r="F863">
        <v>1.69</v>
      </c>
      <c r="G863">
        <v>7.9</v>
      </c>
      <c r="H863">
        <v>103</v>
      </c>
      <c r="I863">
        <v>103</v>
      </c>
      <c r="J863">
        <v>103</v>
      </c>
      <c r="K863">
        <v>103</v>
      </c>
      <c r="L863">
        <v>99</v>
      </c>
      <c r="M863">
        <v>24</v>
      </c>
      <c r="N863" t="s">
        <v>27</v>
      </c>
      <c r="O863" s="8">
        <v>52.816699999999997</v>
      </c>
      <c r="P863" s="7">
        <v>-131.583</v>
      </c>
    </row>
    <row r="864" spans="1:16">
      <c r="A864">
        <v>1989</v>
      </c>
      <c r="B864">
        <v>27</v>
      </c>
      <c r="C864">
        <v>176982</v>
      </c>
      <c r="D864">
        <v>11075</v>
      </c>
      <c r="E864">
        <v>13</v>
      </c>
      <c r="F864">
        <v>2.66</v>
      </c>
      <c r="G864">
        <v>8</v>
      </c>
      <c r="H864">
        <v>118.5</v>
      </c>
      <c r="I864">
        <v>111</v>
      </c>
      <c r="J864">
        <v>107</v>
      </c>
      <c r="K864">
        <v>121</v>
      </c>
      <c r="L864">
        <v>49</v>
      </c>
      <c r="M864">
        <v>24</v>
      </c>
      <c r="N864" t="s">
        <v>27</v>
      </c>
      <c r="O864" s="8">
        <v>52.816699999999997</v>
      </c>
      <c r="P864" s="7">
        <v>-131.583</v>
      </c>
    </row>
    <row r="865" spans="1:16">
      <c r="A865">
        <v>1990</v>
      </c>
      <c r="B865">
        <v>4</v>
      </c>
      <c r="C865">
        <v>191674</v>
      </c>
      <c r="D865">
        <v>12950</v>
      </c>
      <c r="E865">
        <v>60</v>
      </c>
      <c r="F865">
        <v>1.3</v>
      </c>
      <c r="G865">
        <v>8.4</v>
      </c>
      <c r="H865">
        <v>98</v>
      </c>
      <c r="I865">
        <v>98</v>
      </c>
      <c r="J865">
        <v>98</v>
      </c>
      <c r="K865">
        <v>98</v>
      </c>
      <c r="L865">
        <v>100</v>
      </c>
      <c r="M865">
        <v>24</v>
      </c>
      <c r="N865" t="s">
        <v>27</v>
      </c>
      <c r="O865" s="8">
        <v>52.816699999999997</v>
      </c>
      <c r="P865" s="7">
        <v>-131.583</v>
      </c>
    </row>
    <row r="866" spans="1:16">
      <c r="A866">
        <v>1991</v>
      </c>
      <c r="B866">
        <v>6</v>
      </c>
      <c r="C866">
        <v>262896</v>
      </c>
      <c r="D866">
        <v>21420</v>
      </c>
      <c r="E866">
        <v>31</v>
      </c>
      <c r="F866">
        <v>1.64</v>
      </c>
      <c r="G866">
        <v>7.5</v>
      </c>
      <c r="H866">
        <v>104</v>
      </c>
      <c r="I866">
        <v>104</v>
      </c>
      <c r="J866">
        <v>104</v>
      </c>
      <c r="K866">
        <v>104</v>
      </c>
      <c r="L866">
        <v>100</v>
      </c>
      <c r="M866">
        <v>24</v>
      </c>
      <c r="N866" t="s">
        <v>27</v>
      </c>
      <c r="O866" s="8">
        <v>52.816699999999997</v>
      </c>
      <c r="P866" s="7">
        <v>-131.583</v>
      </c>
    </row>
    <row r="867" spans="1:16">
      <c r="A867">
        <v>1992</v>
      </c>
      <c r="B867">
        <v>2</v>
      </c>
      <c r="C867">
        <v>88880</v>
      </c>
      <c r="D867">
        <v>9000</v>
      </c>
      <c r="E867">
        <v>46</v>
      </c>
      <c r="F867">
        <v>1.68</v>
      </c>
      <c r="G867">
        <v>9.3000000000000007</v>
      </c>
      <c r="H867">
        <v>107.5</v>
      </c>
      <c r="I867">
        <v>107.1</v>
      </c>
      <c r="J867">
        <v>106</v>
      </c>
      <c r="K867">
        <v>109</v>
      </c>
      <c r="L867">
        <v>100</v>
      </c>
      <c r="M867">
        <v>24</v>
      </c>
      <c r="N867" t="s">
        <v>27</v>
      </c>
      <c r="O867" s="8">
        <v>52.816699999999997</v>
      </c>
      <c r="P867" s="7">
        <v>-131.583</v>
      </c>
    </row>
    <row r="868" spans="1:16">
      <c r="A868">
        <v>1993</v>
      </c>
      <c r="B868">
        <v>4</v>
      </c>
      <c r="C868">
        <v>262752</v>
      </c>
      <c r="D868">
        <v>16400</v>
      </c>
      <c r="E868">
        <v>30</v>
      </c>
      <c r="F868">
        <v>2.1800000000000002</v>
      </c>
      <c r="G868">
        <v>8.1</v>
      </c>
      <c r="H868">
        <v>107</v>
      </c>
      <c r="I868">
        <v>107</v>
      </c>
      <c r="J868">
        <v>107</v>
      </c>
      <c r="K868">
        <v>107</v>
      </c>
      <c r="L868">
        <v>100</v>
      </c>
      <c r="M868">
        <v>24</v>
      </c>
      <c r="N868" t="s">
        <v>27</v>
      </c>
      <c r="O868" s="8">
        <v>52.816699999999997</v>
      </c>
      <c r="P868" s="7">
        <v>-131.583</v>
      </c>
    </row>
    <row r="869" spans="1:16">
      <c r="A869">
        <v>1994</v>
      </c>
      <c r="B869">
        <v>2</v>
      </c>
      <c r="C869">
        <v>114713</v>
      </c>
      <c r="D869">
        <v>7160</v>
      </c>
      <c r="E869">
        <v>41</v>
      </c>
      <c r="F869">
        <v>1.05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>
        <v>100</v>
      </c>
      <c r="M869">
        <v>24</v>
      </c>
      <c r="N869" t="s">
        <v>27</v>
      </c>
      <c r="O869" s="8">
        <v>52.816699999999997</v>
      </c>
      <c r="P869" s="7">
        <v>-131.583</v>
      </c>
    </row>
    <row r="870" spans="1:16">
      <c r="A870">
        <v>1995</v>
      </c>
      <c r="B870">
        <v>2</v>
      </c>
      <c r="C870">
        <v>33645</v>
      </c>
      <c r="D870">
        <v>2100</v>
      </c>
      <c r="E870">
        <v>8</v>
      </c>
      <c r="F870">
        <v>1.74</v>
      </c>
      <c r="G870">
        <v>9.5</v>
      </c>
      <c r="H870">
        <v>115</v>
      </c>
      <c r="I870">
        <v>115</v>
      </c>
      <c r="J870">
        <v>115</v>
      </c>
      <c r="K870">
        <v>115</v>
      </c>
      <c r="L870">
        <v>0</v>
      </c>
      <c r="M870">
        <v>24</v>
      </c>
      <c r="N870" t="s">
        <v>27</v>
      </c>
      <c r="O870" s="8">
        <v>52.816699999999997</v>
      </c>
      <c r="P870" s="7">
        <v>-131.583</v>
      </c>
    </row>
    <row r="871" spans="1:16">
      <c r="A871">
        <v>1996</v>
      </c>
      <c r="B871">
        <v>3</v>
      </c>
      <c r="C871">
        <v>93725</v>
      </c>
      <c r="D871">
        <v>5850</v>
      </c>
      <c r="E871">
        <v>38</v>
      </c>
      <c r="F871">
        <v>0.95</v>
      </c>
      <c r="G871">
        <v>8.6</v>
      </c>
      <c r="H871">
        <v>111</v>
      </c>
      <c r="I871">
        <v>108.9</v>
      </c>
      <c r="J871">
        <v>108</v>
      </c>
      <c r="K871">
        <v>117</v>
      </c>
      <c r="L871">
        <v>100</v>
      </c>
      <c r="M871">
        <v>24</v>
      </c>
      <c r="N871" t="s">
        <v>27</v>
      </c>
      <c r="O871" s="8">
        <v>52.816699999999997</v>
      </c>
      <c r="P871" s="7">
        <v>-131.583</v>
      </c>
    </row>
    <row r="872" spans="1:16">
      <c r="A872">
        <v>1997</v>
      </c>
      <c r="B872">
        <v>2</v>
      </c>
      <c r="C872">
        <v>103245</v>
      </c>
      <c r="D872">
        <v>4900</v>
      </c>
      <c r="E872">
        <v>35</v>
      </c>
      <c r="F872">
        <v>2.63</v>
      </c>
      <c r="G872">
        <v>7.2</v>
      </c>
      <c r="H872">
        <v>101.5</v>
      </c>
      <c r="I872">
        <v>101.4</v>
      </c>
      <c r="J872">
        <v>101</v>
      </c>
      <c r="K872">
        <v>102</v>
      </c>
      <c r="L872">
        <v>100</v>
      </c>
      <c r="M872">
        <v>24</v>
      </c>
      <c r="N872" t="s">
        <v>27</v>
      </c>
      <c r="O872" s="8">
        <v>52.816699999999997</v>
      </c>
      <c r="P872" s="7">
        <v>-131.583</v>
      </c>
    </row>
    <row r="873" spans="1:16">
      <c r="A873">
        <v>1998</v>
      </c>
      <c r="B873">
        <v>2</v>
      </c>
      <c r="C873">
        <v>177037</v>
      </c>
      <c r="D873">
        <v>11050</v>
      </c>
      <c r="E873">
        <v>56</v>
      </c>
      <c r="F873">
        <v>0.81</v>
      </c>
      <c r="G873">
        <v>8.8000000000000007</v>
      </c>
      <c r="H873">
        <v>82</v>
      </c>
      <c r="I873">
        <v>82</v>
      </c>
      <c r="J873">
        <v>82</v>
      </c>
      <c r="K873">
        <v>82</v>
      </c>
      <c r="L873">
        <v>100</v>
      </c>
      <c r="M873">
        <v>24</v>
      </c>
      <c r="N873" t="s">
        <v>27</v>
      </c>
      <c r="O873" s="8">
        <v>52.816699999999997</v>
      </c>
      <c r="P873" s="7">
        <v>-131.583</v>
      </c>
    </row>
    <row r="874" spans="1:16">
      <c r="A874">
        <v>1999</v>
      </c>
      <c r="B874">
        <v>2</v>
      </c>
      <c r="C874">
        <v>67290</v>
      </c>
      <c r="D874">
        <v>4200</v>
      </c>
      <c r="E874">
        <v>35</v>
      </c>
      <c r="F874">
        <v>0.92</v>
      </c>
      <c r="G874">
        <v>7.1</v>
      </c>
      <c r="H874">
        <v>98</v>
      </c>
      <c r="I874">
        <v>98</v>
      </c>
      <c r="J874">
        <v>98</v>
      </c>
      <c r="K874">
        <v>98</v>
      </c>
      <c r="L874">
        <v>100</v>
      </c>
      <c r="M874">
        <v>24</v>
      </c>
      <c r="N874" t="s">
        <v>27</v>
      </c>
      <c r="O874" s="8">
        <v>52.816699999999997</v>
      </c>
      <c r="P874" s="7">
        <v>-131.583</v>
      </c>
    </row>
    <row r="875" spans="1:16">
      <c r="A875">
        <v>2000</v>
      </c>
      <c r="B875">
        <v>3</v>
      </c>
      <c r="C875">
        <v>107344</v>
      </c>
      <c r="D875">
        <v>6700</v>
      </c>
      <c r="E875">
        <v>42</v>
      </c>
      <c r="F875">
        <v>0.53</v>
      </c>
      <c r="G875">
        <v>7.6</v>
      </c>
      <c r="H875">
        <v>89.3</v>
      </c>
      <c r="I875">
        <v>88.5</v>
      </c>
      <c r="J875">
        <v>68</v>
      </c>
      <c r="K875">
        <v>100</v>
      </c>
      <c r="L875">
        <v>100</v>
      </c>
      <c r="M875">
        <v>24</v>
      </c>
      <c r="N875" t="s">
        <v>27</v>
      </c>
      <c r="O875" s="8">
        <v>52.816699999999997</v>
      </c>
      <c r="P875" s="7">
        <v>-131.583</v>
      </c>
    </row>
    <row r="876" spans="1:16">
      <c r="A876">
        <v>2001</v>
      </c>
      <c r="B876">
        <v>3</v>
      </c>
      <c r="C876">
        <v>80908</v>
      </c>
      <c r="D876">
        <v>5050</v>
      </c>
      <c r="E876">
        <v>42</v>
      </c>
      <c r="F876">
        <v>0.94</v>
      </c>
      <c r="G876">
        <v>8.1999999999999993</v>
      </c>
      <c r="H876">
        <v>97</v>
      </c>
      <c r="I876">
        <v>92.7</v>
      </c>
      <c r="J876">
        <v>69</v>
      </c>
      <c r="K876">
        <v>111</v>
      </c>
      <c r="L876">
        <v>100</v>
      </c>
      <c r="M876">
        <v>24</v>
      </c>
      <c r="N876" t="s">
        <v>27</v>
      </c>
      <c r="O876" s="8">
        <v>52.816699999999997</v>
      </c>
      <c r="P876" s="7">
        <v>-131.583</v>
      </c>
    </row>
    <row r="877" spans="1:16">
      <c r="A877">
        <v>2002</v>
      </c>
      <c r="B877">
        <v>6</v>
      </c>
      <c r="C877">
        <v>89553</v>
      </c>
      <c r="D877">
        <v>5650</v>
      </c>
      <c r="E877">
        <v>43</v>
      </c>
      <c r="F877">
        <v>0.78</v>
      </c>
      <c r="G877">
        <v>6.9</v>
      </c>
      <c r="H877">
        <v>78.5</v>
      </c>
      <c r="I877">
        <v>70.7</v>
      </c>
      <c r="J877">
        <v>52</v>
      </c>
      <c r="K877">
        <v>109</v>
      </c>
      <c r="L877">
        <v>97</v>
      </c>
      <c r="M877">
        <v>24</v>
      </c>
      <c r="N877" t="s">
        <v>27</v>
      </c>
      <c r="O877" s="8">
        <v>52.816699999999997</v>
      </c>
      <c r="P877" s="7">
        <v>-131.583</v>
      </c>
    </row>
    <row r="878" spans="1:16">
      <c r="A878">
        <v>2003</v>
      </c>
      <c r="B878">
        <v>7</v>
      </c>
      <c r="C878">
        <v>88146</v>
      </c>
      <c r="D878">
        <v>5990</v>
      </c>
      <c r="E878">
        <v>29</v>
      </c>
      <c r="F878">
        <v>1.74</v>
      </c>
      <c r="G878">
        <v>8.3000000000000007</v>
      </c>
      <c r="H878">
        <v>83.9</v>
      </c>
      <c r="I878">
        <v>82.5</v>
      </c>
      <c r="J878">
        <v>64</v>
      </c>
      <c r="K878">
        <v>111</v>
      </c>
      <c r="L878">
        <v>91</v>
      </c>
      <c r="M878">
        <v>24</v>
      </c>
      <c r="N878" t="s">
        <v>27</v>
      </c>
      <c r="O878" s="8">
        <v>52.816699999999997</v>
      </c>
      <c r="P878" s="7">
        <v>-131.583</v>
      </c>
    </row>
    <row r="879" spans="1:16">
      <c r="A879">
        <v>2004</v>
      </c>
      <c r="B879">
        <v>9</v>
      </c>
      <c r="C879">
        <v>194425</v>
      </c>
      <c r="D879">
        <v>11400</v>
      </c>
      <c r="E879">
        <v>27</v>
      </c>
      <c r="F879">
        <v>1.19</v>
      </c>
      <c r="G879">
        <v>6.6</v>
      </c>
      <c r="H879">
        <v>50.6</v>
      </c>
      <c r="I879">
        <v>63.6</v>
      </c>
      <c r="J879">
        <v>34</v>
      </c>
      <c r="K879">
        <v>91</v>
      </c>
      <c r="L879">
        <v>71</v>
      </c>
      <c r="M879">
        <v>24</v>
      </c>
      <c r="N879" t="s">
        <v>27</v>
      </c>
      <c r="O879" s="8">
        <v>52.816699999999997</v>
      </c>
      <c r="P879" s="7">
        <v>-131.583</v>
      </c>
    </row>
    <row r="880" spans="1:16">
      <c r="A880">
        <v>2005</v>
      </c>
      <c r="B880">
        <v>8</v>
      </c>
      <c r="C880">
        <v>132380</v>
      </c>
      <c r="D880">
        <v>8300</v>
      </c>
      <c r="E880">
        <v>22</v>
      </c>
      <c r="F880">
        <v>0.92</v>
      </c>
      <c r="G880">
        <v>7.4</v>
      </c>
      <c r="H880">
        <v>73.599999999999994</v>
      </c>
      <c r="I880">
        <v>79.7</v>
      </c>
      <c r="J880">
        <v>57</v>
      </c>
      <c r="K880">
        <v>107</v>
      </c>
      <c r="L880">
        <v>70</v>
      </c>
      <c r="M880">
        <v>24</v>
      </c>
      <c r="N880" t="s">
        <v>27</v>
      </c>
      <c r="O880" s="8">
        <v>52.816699999999997</v>
      </c>
      <c r="P880" s="7">
        <v>-131.583</v>
      </c>
    </row>
    <row r="881" spans="1:16">
      <c r="A881">
        <v>2006</v>
      </c>
      <c r="B881">
        <v>19</v>
      </c>
      <c r="C881">
        <v>243669</v>
      </c>
      <c r="D881">
        <v>17100</v>
      </c>
      <c r="E881">
        <v>17</v>
      </c>
      <c r="F881">
        <v>1.3</v>
      </c>
      <c r="G881">
        <v>7.8</v>
      </c>
      <c r="H881">
        <v>87.8</v>
      </c>
      <c r="I881">
        <v>87.1</v>
      </c>
      <c r="J881">
        <v>60</v>
      </c>
      <c r="K881">
        <v>98</v>
      </c>
      <c r="L881">
        <v>0</v>
      </c>
      <c r="M881">
        <v>24</v>
      </c>
      <c r="N881" t="s">
        <v>27</v>
      </c>
      <c r="O881" s="8">
        <v>52.816699999999997</v>
      </c>
      <c r="P881" s="7">
        <v>-131.583</v>
      </c>
    </row>
    <row r="882" spans="1:16">
      <c r="A882">
        <v>2007</v>
      </c>
      <c r="B882">
        <v>9</v>
      </c>
      <c r="C882">
        <v>146006</v>
      </c>
      <c r="D882">
        <v>9250</v>
      </c>
      <c r="E882">
        <v>20</v>
      </c>
      <c r="F882">
        <v>0.67</v>
      </c>
      <c r="G882" t="s">
        <v>0</v>
      </c>
      <c r="H882">
        <v>91.6</v>
      </c>
      <c r="I882">
        <v>90.5</v>
      </c>
      <c r="J882">
        <v>49</v>
      </c>
      <c r="K882">
        <v>98</v>
      </c>
      <c r="L882">
        <v>54</v>
      </c>
      <c r="M882">
        <v>24</v>
      </c>
      <c r="N882" t="s">
        <v>27</v>
      </c>
      <c r="O882" s="8">
        <v>52.816699999999997</v>
      </c>
      <c r="P882" s="7">
        <v>-131.583</v>
      </c>
    </row>
    <row r="883" spans="1:16">
      <c r="A883">
        <v>2008</v>
      </c>
      <c r="B883">
        <v>6</v>
      </c>
      <c r="C883">
        <v>137143</v>
      </c>
      <c r="D883">
        <v>8560</v>
      </c>
      <c r="E883">
        <v>31</v>
      </c>
      <c r="F883">
        <v>0.54</v>
      </c>
      <c r="G883">
        <v>6.6</v>
      </c>
      <c r="H883">
        <v>92</v>
      </c>
      <c r="I883">
        <v>87</v>
      </c>
      <c r="J883">
        <v>78</v>
      </c>
      <c r="K883">
        <v>105</v>
      </c>
      <c r="L883">
        <v>100</v>
      </c>
      <c r="M883">
        <v>24</v>
      </c>
      <c r="N883" t="s">
        <v>27</v>
      </c>
      <c r="O883" s="8">
        <v>52.816699999999997</v>
      </c>
      <c r="P883" s="7">
        <v>-131.583</v>
      </c>
    </row>
    <row r="884" spans="1:16">
      <c r="A884">
        <v>2009</v>
      </c>
      <c r="B884">
        <v>5</v>
      </c>
      <c r="C884">
        <v>198499</v>
      </c>
      <c r="D884">
        <v>12467</v>
      </c>
      <c r="E884">
        <v>14</v>
      </c>
      <c r="F884">
        <v>0.51</v>
      </c>
      <c r="G884">
        <v>7.2</v>
      </c>
      <c r="H884">
        <v>103.6</v>
      </c>
      <c r="I884">
        <v>99.4</v>
      </c>
      <c r="J884">
        <v>86</v>
      </c>
      <c r="K884">
        <v>117</v>
      </c>
      <c r="L884">
        <v>83</v>
      </c>
      <c r="M884">
        <v>24</v>
      </c>
      <c r="N884" t="s">
        <v>27</v>
      </c>
      <c r="O884" s="8">
        <v>52.816699999999997</v>
      </c>
      <c r="P884" s="7">
        <v>-131.583</v>
      </c>
    </row>
    <row r="885" spans="1:16">
      <c r="A885">
        <v>2010</v>
      </c>
      <c r="B885">
        <v>6</v>
      </c>
      <c r="C885">
        <v>203405</v>
      </c>
      <c r="D885">
        <v>12940</v>
      </c>
      <c r="E885">
        <v>25</v>
      </c>
      <c r="F885">
        <v>0.6</v>
      </c>
      <c r="G885" t="s">
        <v>0</v>
      </c>
      <c r="H885">
        <v>94.5</v>
      </c>
      <c r="I885">
        <v>91.4</v>
      </c>
      <c r="J885">
        <v>88</v>
      </c>
      <c r="K885">
        <v>101</v>
      </c>
      <c r="L885">
        <v>74</v>
      </c>
      <c r="M885">
        <v>24</v>
      </c>
      <c r="N885" t="s">
        <v>27</v>
      </c>
      <c r="O885" s="8">
        <v>52.816699999999997</v>
      </c>
      <c r="P885" s="7">
        <v>-131.583</v>
      </c>
    </row>
    <row r="886" spans="1:16">
      <c r="A886">
        <v>2011</v>
      </c>
      <c r="B886">
        <v>8</v>
      </c>
      <c r="C886">
        <v>108234</v>
      </c>
      <c r="D886">
        <v>6800</v>
      </c>
      <c r="E886">
        <v>26</v>
      </c>
      <c r="F886">
        <v>1.04</v>
      </c>
      <c r="G886" t="s">
        <v>0</v>
      </c>
      <c r="H886">
        <v>103</v>
      </c>
      <c r="I886">
        <v>89.9</v>
      </c>
      <c r="J886">
        <v>73</v>
      </c>
      <c r="K886">
        <v>113</v>
      </c>
      <c r="L886">
        <v>58</v>
      </c>
      <c r="M886">
        <v>24</v>
      </c>
      <c r="N886" t="s">
        <v>27</v>
      </c>
      <c r="O886" s="8">
        <v>52.816699999999997</v>
      </c>
      <c r="P886" s="7">
        <v>-131.583</v>
      </c>
    </row>
    <row r="887" spans="1:16">
      <c r="A887">
        <v>2012</v>
      </c>
      <c r="B887">
        <v>9</v>
      </c>
      <c r="C887">
        <v>175800</v>
      </c>
      <c r="D887">
        <v>11230</v>
      </c>
      <c r="E887">
        <v>18</v>
      </c>
      <c r="F887">
        <v>0.56000000000000005</v>
      </c>
      <c r="G887" t="s">
        <v>0</v>
      </c>
      <c r="H887">
        <v>107</v>
      </c>
      <c r="I887">
        <v>87.6</v>
      </c>
      <c r="J887">
        <v>79</v>
      </c>
      <c r="K887">
        <v>119</v>
      </c>
      <c r="L887">
        <v>79</v>
      </c>
      <c r="M887">
        <v>24</v>
      </c>
      <c r="N887" t="s">
        <v>27</v>
      </c>
      <c r="O887" s="8">
        <v>52.816699999999997</v>
      </c>
      <c r="P887" s="7">
        <v>-131.583</v>
      </c>
    </row>
    <row r="888" spans="1:16">
      <c r="A888">
        <v>2013</v>
      </c>
      <c r="B888">
        <v>10</v>
      </c>
      <c r="C888">
        <v>125430</v>
      </c>
      <c r="D888">
        <v>7900</v>
      </c>
      <c r="E888">
        <v>17</v>
      </c>
      <c r="F888">
        <v>1.02</v>
      </c>
      <c r="G888" t="s">
        <v>0</v>
      </c>
      <c r="H888">
        <v>101.4</v>
      </c>
      <c r="I888">
        <v>98.9</v>
      </c>
      <c r="J888">
        <v>95</v>
      </c>
      <c r="K888">
        <v>111</v>
      </c>
      <c r="L888">
        <v>0</v>
      </c>
      <c r="M888">
        <v>24</v>
      </c>
      <c r="N888" t="s">
        <v>27</v>
      </c>
      <c r="O888" s="8">
        <v>52.816699999999997</v>
      </c>
      <c r="P888" s="7">
        <v>-131.583</v>
      </c>
    </row>
    <row r="889" spans="1:16">
      <c r="A889">
        <v>1940</v>
      </c>
      <c r="B889">
        <v>1</v>
      </c>
      <c r="C889">
        <v>323295</v>
      </c>
      <c r="D889">
        <v>11260</v>
      </c>
      <c r="E889">
        <v>46</v>
      </c>
      <c r="F889">
        <v>5.3</v>
      </c>
      <c r="G889" t="s">
        <v>0</v>
      </c>
      <c r="H889">
        <v>96</v>
      </c>
      <c r="I889">
        <v>96</v>
      </c>
      <c r="J889">
        <v>96</v>
      </c>
      <c r="K889">
        <v>96</v>
      </c>
      <c r="L889">
        <v>0</v>
      </c>
      <c r="M889">
        <v>25</v>
      </c>
      <c r="N889" t="s">
        <v>29</v>
      </c>
      <c r="O889" s="8">
        <v>52.333300000000001</v>
      </c>
      <c r="P889" s="7">
        <v>-131.21700000000001</v>
      </c>
    </row>
    <row r="890" spans="1:16">
      <c r="A890">
        <v>1941</v>
      </c>
      <c r="B890">
        <v>1</v>
      </c>
      <c r="C890">
        <v>323295</v>
      </c>
      <c r="D890">
        <v>11260</v>
      </c>
      <c r="E890">
        <v>46</v>
      </c>
      <c r="F890">
        <v>5.3</v>
      </c>
      <c r="G890" t="s">
        <v>0</v>
      </c>
      <c r="H890">
        <v>95</v>
      </c>
      <c r="I890">
        <v>95</v>
      </c>
      <c r="J890">
        <v>95</v>
      </c>
      <c r="K890">
        <v>95</v>
      </c>
      <c r="L890">
        <v>0</v>
      </c>
      <c r="M890">
        <v>25</v>
      </c>
      <c r="N890" t="s">
        <v>29</v>
      </c>
      <c r="O890" s="8">
        <v>52.333300000000001</v>
      </c>
      <c r="P890" s="7">
        <v>-131.21700000000001</v>
      </c>
    </row>
    <row r="891" spans="1:16">
      <c r="A891">
        <v>1942</v>
      </c>
      <c r="B891">
        <v>6</v>
      </c>
      <c r="C891">
        <v>426257</v>
      </c>
      <c r="D891">
        <v>15310</v>
      </c>
      <c r="E891">
        <v>31</v>
      </c>
      <c r="F891">
        <v>5.3</v>
      </c>
      <c r="G891" t="s">
        <v>0</v>
      </c>
      <c r="H891">
        <v>95</v>
      </c>
      <c r="I891" t="s">
        <v>0</v>
      </c>
      <c r="J891">
        <v>95</v>
      </c>
      <c r="K891">
        <v>95</v>
      </c>
      <c r="L891">
        <v>0</v>
      </c>
      <c r="M891">
        <v>25</v>
      </c>
      <c r="N891" t="s">
        <v>29</v>
      </c>
      <c r="O891" s="8">
        <v>52.333300000000001</v>
      </c>
      <c r="P891" s="7">
        <v>-131.21700000000001</v>
      </c>
    </row>
    <row r="892" spans="1:16">
      <c r="A892">
        <v>1943</v>
      </c>
      <c r="B892">
        <v>2</v>
      </c>
      <c r="C892">
        <v>120885</v>
      </c>
      <c r="D892">
        <v>3656</v>
      </c>
      <c r="E892">
        <v>16</v>
      </c>
      <c r="F892">
        <v>2.04</v>
      </c>
      <c r="G892" t="s">
        <v>0</v>
      </c>
      <c r="H892">
        <v>109</v>
      </c>
      <c r="I892">
        <v>109.1</v>
      </c>
      <c r="J892">
        <v>108</v>
      </c>
      <c r="K892">
        <v>110</v>
      </c>
      <c r="L892">
        <v>0</v>
      </c>
      <c r="M892">
        <v>25</v>
      </c>
      <c r="N892" t="s">
        <v>29</v>
      </c>
      <c r="O892" s="8">
        <v>52.333300000000001</v>
      </c>
      <c r="P892" s="7">
        <v>-131.21700000000001</v>
      </c>
    </row>
    <row r="893" spans="1:16">
      <c r="A893">
        <v>1944</v>
      </c>
      <c r="B893">
        <v>1</v>
      </c>
      <c r="C893">
        <v>63407</v>
      </c>
      <c r="D893">
        <v>3199</v>
      </c>
      <c r="E893">
        <v>18</v>
      </c>
      <c r="F893">
        <v>7.83</v>
      </c>
      <c r="G893" t="s">
        <v>0</v>
      </c>
      <c r="H893">
        <v>101</v>
      </c>
      <c r="I893">
        <v>101</v>
      </c>
      <c r="J893">
        <v>101</v>
      </c>
      <c r="K893">
        <v>101</v>
      </c>
      <c r="L893">
        <v>0</v>
      </c>
      <c r="M893">
        <v>25</v>
      </c>
      <c r="N893" t="s">
        <v>29</v>
      </c>
      <c r="O893" s="8">
        <v>52.333300000000001</v>
      </c>
      <c r="P893" s="7">
        <v>-131.21700000000001</v>
      </c>
    </row>
    <row r="894" spans="1:16">
      <c r="A894">
        <v>1945</v>
      </c>
      <c r="B894">
        <v>9</v>
      </c>
      <c r="C894">
        <v>621856</v>
      </c>
      <c r="D894">
        <v>20291</v>
      </c>
      <c r="E894">
        <v>38</v>
      </c>
      <c r="F894">
        <v>6.42</v>
      </c>
      <c r="G894">
        <v>7.6</v>
      </c>
      <c r="H894">
        <v>91.4</v>
      </c>
      <c r="I894">
        <v>90.6</v>
      </c>
      <c r="J894">
        <v>84</v>
      </c>
      <c r="K894">
        <v>102</v>
      </c>
      <c r="L894">
        <v>0</v>
      </c>
      <c r="M894">
        <v>25</v>
      </c>
      <c r="N894" t="s">
        <v>29</v>
      </c>
      <c r="O894" s="8">
        <v>52.333300000000001</v>
      </c>
      <c r="P894" s="7">
        <v>-131.21700000000001</v>
      </c>
    </row>
    <row r="895" spans="1:16">
      <c r="A895">
        <v>1946</v>
      </c>
      <c r="B895">
        <v>3</v>
      </c>
      <c r="C895">
        <v>254822</v>
      </c>
      <c r="D895">
        <v>8709</v>
      </c>
      <c r="E895">
        <v>168</v>
      </c>
      <c r="F895">
        <v>6.14</v>
      </c>
      <c r="G895">
        <v>7.2</v>
      </c>
      <c r="H895">
        <v>87.7</v>
      </c>
      <c r="I895">
        <v>87.3</v>
      </c>
      <c r="J895">
        <v>83</v>
      </c>
      <c r="K895">
        <v>92</v>
      </c>
      <c r="L895">
        <v>0</v>
      </c>
      <c r="M895">
        <v>25</v>
      </c>
      <c r="N895" t="s">
        <v>29</v>
      </c>
      <c r="O895" s="8">
        <v>52.333300000000001</v>
      </c>
      <c r="P895" s="7">
        <v>-131.21700000000001</v>
      </c>
    </row>
    <row r="896" spans="1:16">
      <c r="A896">
        <v>1947</v>
      </c>
      <c r="B896">
        <v>8</v>
      </c>
      <c r="C896">
        <v>515723</v>
      </c>
      <c r="D896">
        <v>16489</v>
      </c>
      <c r="E896">
        <v>33</v>
      </c>
      <c r="F896">
        <v>6.39</v>
      </c>
      <c r="G896" t="s">
        <v>0</v>
      </c>
      <c r="H896">
        <v>100.6</v>
      </c>
      <c r="I896">
        <v>100.4</v>
      </c>
      <c r="J896">
        <v>99</v>
      </c>
      <c r="K896">
        <v>103</v>
      </c>
      <c r="L896">
        <v>0</v>
      </c>
      <c r="M896">
        <v>25</v>
      </c>
      <c r="N896" t="s">
        <v>29</v>
      </c>
      <c r="O896" s="8">
        <v>52.333300000000001</v>
      </c>
      <c r="P896" s="7">
        <v>-131.21700000000001</v>
      </c>
    </row>
    <row r="897" spans="1:16">
      <c r="A897">
        <v>1948</v>
      </c>
      <c r="B897">
        <v>6</v>
      </c>
      <c r="C897">
        <v>494819</v>
      </c>
      <c r="D897">
        <v>17234</v>
      </c>
      <c r="E897">
        <v>38</v>
      </c>
      <c r="F897">
        <v>4.87</v>
      </c>
      <c r="G897" t="s">
        <v>0</v>
      </c>
      <c r="H897">
        <v>98.8</v>
      </c>
      <c r="I897">
        <v>98.9</v>
      </c>
      <c r="J897">
        <v>93</v>
      </c>
      <c r="K897">
        <v>102</v>
      </c>
      <c r="L897">
        <v>0</v>
      </c>
      <c r="M897">
        <v>25</v>
      </c>
      <c r="N897" t="s">
        <v>29</v>
      </c>
      <c r="O897" s="8">
        <v>52.333300000000001</v>
      </c>
      <c r="P897" s="7">
        <v>-131.21700000000001</v>
      </c>
    </row>
    <row r="898" spans="1:16">
      <c r="A898">
        <v>1949</v>
      </c>
      <c r="B898">
        <v>4</v>
      </c>
      <c r="C898">
        <v>164818</v>
      </c>
      <c r="D898">
        <v>6855</v>
      </c>
      <c r="E898">
        <v>20</v>
      </c>
      <c r="F898">
        <v>4.01</v>
      </c>
      <c r="G898" t="s">
        <v>0</v>
      </c>
      <c r="H898">
        <v>104</v>
      </c>
      <c r="I898">
        <v>104.3</v>
      </c>
      <c r="J898">
        <v>103</v>
      </c>
      <c r="K898">
        <v>105</v>
      </c>
      <c r="L898">
        <v>0</v>
      </c>
      <c r="M898">
        <v>25</v>
      </c>
      <c r="N898" t="s">
        <v>29</v>
      </c>
      <c r="O898" s="8">
        <v>52.333300000000001</v>
      </c>
      <c r="P898" s="7">
        <v>-131.21700000000001</v>
      </c>
    </row>
    <row r="899" spans="1:16">
      <c r="A899">
        <v>1950</v>
      </c>
      <c r="B899">
        <v>8</v>
      </c>
      <c r="C899">
        <v>262482</v>
      </c>
      <c r="D899">
        <v>8428</v>
      </c>
      <c r="E899">
        <v>34</v>
      </c>
      <c r="F899">
        <v>2.54</v>
      </c>
      <c r="G899" t="s">
        <v>0</v>
      </c>
      <c r="H899">
        <v>94.1</v>
      </c>
      <c r="I899">
        <v>93.9</v>
      </c>
      <c r="J899">
        <v>93</v>
      </c>
      <c r="K899">
        <v>96</v>
      </c>
      <c r="L899">
        <v>0</v>
      </c>
      <c r="M899">
        <v>25</v>
      </c>
      <c r="N899" t="s">
        <v>29</v>
      </c>
      <c r="O899" s="8">
        <v>52.333300000000001</v>
      </c>
      <c r="P899" s="7">
        <v>-131.21700000000001</v>
      </c>
    </row>
    <row r="900" spans="1:16">
      <c r="A900">
        <v>1951</v>
      </c>
      <c r="B900">
        <v>11</v>
      </c>
      <c r="C900">
        <v>281576</v>
      </c>
      <c r="D900">
        <v>9050</v>
      </c>
      <c r="E900">
        <v>28</v>
      </c>
      <c r="F900">
        <v>3.2</v>
      </c>
      <c r="G900">
        <v>6.2</v>
      </c>
      <c r="H900">
        <v>92.9</v>
      </c>
      <c r="I900">
        <v>93.2</v>
      </c>
      <c r="J900">
        <v>91</v>
      </c>
      <c r="K900">
        <v>94</v>
      </c>
      <c r="L900">
        <v>0</v>
      </c>
      <c r="M900">
        <v>25</v>
      </c>
      <c r="N900" t="s">
        <v>29</v>
      </c>
      <c r="O900" s="8">
        <v>52.333300000000001</v>
      </c>
      <c r="P900" s="7">
        <v>-131.21700000000001</v>
      </c>
    </row>
    <row r="901" spans="1:16">
      <c r="A901">
        <v>1952</v>
      </c>
      <c r="B901">
        <v>1</v>
      </c>
      <c r="C901">
        <v>21743</v>
      </c>
      <c r="D901">
        <v>1097</v>
      </c>
      <c r="E901">
        <v>82</v>
      </c>
      <c r="F901">
        <v>6.56</v>
      </c>
      <c r="G901">
        <v>7.2</v>
      </c>
      <c r="H901">
        <v>100</v>
      </c>
      <c r="I901">
        <v>100</v>
      </c>
      <c r="J901">
        <v>100</v>
      </c>
      <c r="K901">
        <v>100</v>
      </c>
      <c r="L901">
        <v>0</v>
      </c>
      <c r="M901">
        <v>25</v>
      </c>
      <c r="N901" t="s">
        <v>29</v>
      </c>
      <c r="O901" s="8">
        <v>52.333300000000001</v>
      </c>
      <c r="P901" s="7">
        <v>-131.21700000000001</v>
      </c>
    </row>
    <row r="902" spans="1:16">
      <c r="A902">
        <v>1953</v>
      </c>
      <c r="B902">
        <v>3</v>
      </c>
      <c r="C902">
        <v>242245</v>
      </c>
      <c r="D902">
        <v>12141</v>
      </c>
      <c r="E902">
        <v>23</v>
      </c>
      <c r="F902">
        <v>2.42</v>
      </c>
      <c r="G902">
        <v>7</v>
      </c>
      <c r="H902">
        <v>92</v>
      </c>
      <c r="I902">
        <v>92.5</v>
      </c>
      <c r="J902">
        <v>91</v>
      </c>
      <c r="K902">
        <v>93</v>
      </c>
      <c r="L902">
        <v>0</v>
      </c>
      <c r="M902">
        <v>25</v>
      </c>
      <c r="N902" t="s">
        <v>29</v>
      </c>
      <c r="O902" s="8">
        <v>52.333300000000001</v>
      </c>
      <c r="P902" s="7">
        <v>-131.21700000000001</v>
      </c>
    </row>
    <row r="903" spans="1:16">
      <c r="A903">
        <v>1954</v>
      </c>
      <c r="B903">
        <v>2</v>
      </c>
      <c r="C903">
        <v>214190</v>
      </c>
      <c r="D903">
        <v>8372</v>
      </c>
      <c r="E903">
        <v>27</v>
      </c>
      <c r="F903">
        <v>4.13</v>
      </c>
      <c r="G903">
        <v>6.9</v>
      </c>
      <c r="H903">
        <v>91</v>
      </c>
      <c r="I903">
        <v>91</v>
      </c>
      <c r="J903">
        <v>91</v>
      </c>
      <c r="K903">
        <v>91</v>
      </c>
      <c r="L903">
        <v>0</v>
      </c>
      <c r="M903">
        <v>25</v>
      </c>
      <c r="N903" t="s">
        <v>29</v>
      </c>
      <c r="O903" s="8">
        <v>52.333300000000001</v>
      </c>
      <c r="P903" s="7">
        <v>-131.21700000000001</v>
      </c>
    </row>
    <row r="904" spans="1:16">
      <c r="A904">
        <v>1955</v>
      </c>
      <c r="B904">
        <v>2</v>
      </c>
      <c r="C904">
        <v>26419</v>
      </c>
      <c r="D904">
        <v>1005</v>
      </c>
      <c r="E904">
        <v>6</v>
      </c>
      <c r="F904">
        <v>2.15</v>
      </c>
      <c r="G904">
        <v>6.7</v>
      </c>
      <c r="H904">
        <v>99</v>
      </c>
      <c r="I904">
        <v>99.6</v>
      </c>
      <c r="J904">
        <v>98</v>
      </c>
      <c r="K904">
        <v>100</v>
      </c>
      <c r="L904">
        <v>0</v>
      </c>
      <c r="M904">
        <v>25</v>
      </c>
      <c r="N904" t="s">
        <v>29</v>
      </c>
      <c r="O904" s="8">
        <v>52.333300000000001</v>
      </c>
      <c r="P904" s="7">
        <v>-131.21700000000001</v>
      </c>
    </row>
    <row r="905" spans="1:16">
      <c r="A905">
        <v>1956</v>
      </c>
      <c r="B905">
        <v>9</v>
      </c>
      <c r="C905">
        <v>535226</v>
      </c>
      <c r="D905">
        <v>20162</v>
      </c>
      <c r="E905">
        <v>7</v>
      </c>
      <c r="F905">
        <v>2.2400000000000002</v>
      </c>
      <c r="G905" t="s">
        <v>0</v>
      </c>
      <c r="H905">
        <v>92.2</v>
      </c>
      <c r="I905">
        <v>91.4</v>
      </c>
      <c r="J905">
        <v>87</v>
      </c>
      <c r="K905">
        <v>100</v>
      </c>
      <c r="L905">
        <v>0</v>
      </c>
      <c r="M905">
        <v>25</v>
      </c>
      <c r="N905" t="s">
        <v>29</v>
      </c>
      <c r="O905" s="8">
        <v>52.333300000000001</v>
      </c>
      <c r="P905" s="7">
        <v>-131.21700000000001</v>
      </c>
    </row>
    <row r="906" spans="1:16">
      <c r="A906">
        <v>1957</v>
      </c>
      <c r="B906">
        <v>0</v>
      </c>
      <c r="C906">
        <v>0</v>
      </c>
      <c r="D906">
        <v>0</v>
      </c>
      <c r="E906">
        <v>0</v>
      </c>
      <c r="F906">
        <v>0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>
        <v>0</v>
      </c>
      <c r="M906">
        <v>25</v>
      </c>
      <c r="N906" t="s">
        <v>29</v>
      </c>
      <c r="O906" s="8">
        <v>52.333300000000001</v>
      </c>
      <c r="P906" s="7">
        <v>-131.21700000000001</v>
      </c>
    </row>
    <row r="907" spans="1:16">
      <c r="A907">
        <v>1958</v>
      </c>
      <c r="B907">
        <v>2</v>
      </c>
      <c r="C907">
        <v>19361</v>
      </c>
      <c r="D907">
        <v>731</v>
      </c>
      <c r="E907">
        <v>5</v>
      </c>
      <c r="F907">
        <v>1.75</v>
      </c>
      <c r="G907">
        <v>5.4</v>
      </c>
      <c r="H907">
        <v>84</v>
      </c>
      <c r="I907">
        <v>85.9</v>
      </c>
      <c r="J907">
        <v>81</v>
      </c>
      <c r="K907">
        <v>87</v>
      </c>
      <c r="L907">
        <v>0</v>
      </c>
      <c r="M907">
        <v>25</v>
      </c>
      <c r="N907" t="s">
        <v>29</v>
      </c>
      <c r="O907" s="8">
        <v>52.333300000000001</v>
      </c>
      <c r="P907" s="7">
        <v>-131.21700000000001</v>
      </c>
    </row>
    <row r="908" spans="1:16">
      <c r="A908">
        <v>1959</v>
      </c>
      <c r="B908">
        <v>4</v>
      </c>
      <c r="C908">
        <v>422148</v>
      </c>
      <c r="D908">
        <v>14076</v>
      </c>
      <c r="E908">
        <v>10</v>
      </c>
      <c r="F908">
        <v>2.15</v>
      </c>
      <c r="G908">
        <v>7.4</v>
      </c>
      <c r="H908">
        <v>81</v>
      </c>
      <c r="I908">
        <v>81.3</v>
      </c>
      <c r="J908">
        <v>78</v>
      </c>
      <c r="K908">
        <v>90</v>
      </c>
      <c r="L908">
        <v>0</v>
      </c>
      <c r="M908">
        <v>25</v>
      </c>
      <c r="N908" t="s">
        <v>29</v>
      </c>
      <c r="O908" s="8">
        <v>52.333300000000001</v>
      </c>
      <c r="P908" s="7">
        <v>-131.21700000000001</v>
      </c>
    </row>
    <row r="909" spans="1:16">
      <c r="A909">
        <v>1960</v>
      </c>
      <c r="B909">
        <v>1</v>
      </c>
      <c r="C909">
        <v>116294</v>
      </c>
      <c r="D909">
        <v>3108</v>
      </c>
      <c r="E909">
        <v>18</v>
      </c>
      <c r="F909">
        <v>2.96</v>
      </c>
      <c r="G909">
        <v>7.2</v>
      </c>
      <c r="H909">
        <v>84</v>
      </c>
      <c r="I909">
        <v>84</v>
      </c>
      <c r="J909">
        <v>84</v>
      </c>
      <c r="K909">
        <v>84</v>
      </c>
      <c r="L909">
        <v>0</v>
      </c>
      <c r="M909">
        <v>25</v>
      </c>
      <c r="N909" t="s">
        <v>29</v>
      </c>
      <c r="O909" s="8">
        <v>52.333300000000001</v>
      </c>
      <c r="P909" s="7">
        <v>-131.21700000000001</v>
      </c>
    </row>
    <row r="910" spans="1:16">
      <c r="A910">
        <v>1961</v>
      </c>
      <c r="B910">
        <v>2</v>
      </c>
      <c r="C910">
        <v>187133</v>
      </c>
      <c r="D910">
        <v>6033</v>
      </c>
      <c r="E910">
        <v>15</v>
      </c>
      <c r="F910">
        <v>3.55</v>
      </c>
      <c r="G910" t="s">
        <v>0</v>
      </c>
      <c r="H910">
        <v>85</v>
      </c>
      <c r="I910">
        <v>85</v>
      </c>
      <c r="J910">
        <v>85</v>
      </c>
      <c r="K910">
        <v>85</v>
      </c>
      <c r="L910">
        <v>0</v>
      </c>
      <c r="M910">
        <v>25</v>
      </c>
      <c r="N910" t="s">
        <v>29</v>
      </c>
      <c r="O910" s="8">
        <v>52.333300000000001</v>
      </c>
      <c r="P910" s="7">
        <v>-131.21700000000001</v>
      </c>
    </row>
    <row r="911" spans="1:16">
      <c r="A911">
        <v>1962</v>
      </c>
      <c r="B911">
        <v>4</v>
      </c>
      <c r="C911">
        <v>218183</v>
      </c>
      <c r="D911">
        <v>8408</v>
      </c>
      <c r="E911">
        <v>82</v>
      </c>
      <c r="F911">
        <v>2.35</v>
      </c>
      <c r="G911">
        <v>6.1</v>
      </c>
      <c r="H911">
        <v>80.8</v>
      </c>
      <c r="I911">
        <v>81.400000000000006</v>
      </c>
      <c r="J911">
        <v>80</v>
      </c>
      <c r="K911">
        <v>83</v>
      </c>
      <c r="L911">
        <v>0</v>
      </c>
      <c r="M911">
        <v>25</v>
      </c>
      <c r="N911" t="s">
        <v>29</v>
      </c>
      <c r="O911" s="8">
        <v>52.333300000000001</v>
      </c>
      <c r="P911" s="7">
        <v>-131.21700000000001</v>
      </c>
    </row>
    <row r="912" spans="1:16">
      <c r="A912">
        <v>1963</v>
      </c>
      <c r="B912">
        <v>6</v>
      </c>
      <c r="C912">
        <v>227728</v>
      </c>
      <c r="D912">
        <v>11379</v>
      </c>
      <c r="E912">
        <v>20</v>
      </c>
      <c r="F912">
        <v>2.89</v>
      </c>
      <c r="G912" t="s">
        <v>0</v>
      </c>
      <c r="H912">
        <v>85.3</v>
      </c>
      <c r="I912">
        <v>85.5</v>
      </c>
      <c r="J912">
        <v>81</v>
      </c>
      <c r="K912">
        <v>90</v>
      </c>
      <c r="L912">
        <v>0</v>
      </c>
      <c r="M912">
        <v>25</v>
      </c>
      <c r="N912" t="s">
        <v>29</v>
      </c>
      <c r="O912" s="8">
        <v>52.333300000000001</v>
      </c>
      <c r="P912" s="7">
        <v>-131.21700000000001</v>
      </c>
    </row>
    <row r="913" spans="1:16">
      <c r="A913">
        <v>1964</v>
      </c>
      <c r="B913">
        <v>2</v>
      </c>
      <c r="C913">
        <v>42550</v>
      </c>
      <c r="D913">
        <v>1371</v>
      </c>
      <c r="E913">
        <v>23</v>
      </c>
      <c r="F913">
        <v>4.13</v>
      </c>
      <c r="G913">
        <v>7.4</v>
      </c>
      <c r="H913">
        <v>76</v>
      </c>
      <c r="I913">
        <v>76.400000000000006</v>
      </c>
      <c r="J913">
        <v>75</v>
      </c>
      <c r="K913">
        <v>77</v>
      </c>
      <c r="L913">
        <v>0</v>
      </c>
      <c r="M913">
        <v>25</v>
      </c>
      <c r="N913" t="s">
        <v>29</v>
      </c>
      <c r="O913" s="8">
        <v>52.333300000000001</v>
      </c>
      <c r="P913" s="7">
        <v>-131.21700000000001</v>
      </c>
    </row>
    <row r="914" spans="1:16">
      <c r="A914">
        <v>1965</v>
      </c>
      <c r="B914">
        <v>0</v>
      </c>
      <c r="C914">
        <v>0</v>
      </c>
      <c r="D914">
        <v>0</v>
      </c>
      <c r="E914">
        <v>0</v>
      </c>
      <c r="F914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>
        <v>0</v>
      </c>
      <c r="M914">
        <v>25</v>
      </c>
      <c r="N914" t="s">
        <v>29</v>
      </c>
      <c r="O914" s="8">
        <v>52.333300000000001</v>
      </c>
      <c r="P914" s="7">
        <v>-131.21700000000001</v>
      </c>
    </row>
    <row r="915" spans="1:16">
      <c r="A915">
        <v>1966</v>
      </c>
      <c r="B915">
        <v>3</v>
      </c>
      <c r="C915">
        <v>22563</v>
      </c>
      <c r="D915">
        <v>603</v>
      </c>
      <c r="E915">
        <v>13</v>
      </c>
      <c r="F915">
        <v>1.08</v>
      </c>
      <c r="G915">
        <v>8</v>
      </c>
      <c r="H915">
        <v>99</v>
      </c>
      <c r="I915">
        <v>101.7</v>
      </c>
      <c r="J915">
        <v>94</v>
      </c>
      <c r="K915">
        <v>108</v>
      </c>
      <c r="L915">
        <v>0</v>
      </c>
      <c r="M915">
        <v>25</v>
      </c>
      <c r="N915" t="s">
        <v>29</v>
      </c>
      <c r="O915" s="8">
        <v>52.333300000000001</v>
      </c>
      <c r="P915" s="7">
        <v>-131.21700000000001</v>
      </c>
    </row>
    <row r="916" spans="1:16">
      <c r="A916">
        <v>1967</v>
      </c>
      <c r="B916">
        <v>0</v>
      </c>
      <c r="C916">
        <v>0</v>
      </c>
      <c r="D916">
        <v>0</v>
      </c>
      <c r="E916">
        <v>0</v>
      </c>
      <c r="F916">
        <v>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>
        <v>0</v>
      </c>
      <c r="M916">
        <v>25</v>
      </c>
      <c r="N916" t="s">
        <v>29</v>
      </c>
      <c r="O916" s="8">
        <v>52.333300000000001</v>
      </c>
      <c r="P916" s="7">
        <v>-131.21700000000001</v>
      </c>
    </row>
    <row r="917" spans="1:16">
      <c r="A917">
        <v>1968</v>
      </c>
      <c r="B917">
        <v>3</v>
      </c>
      <c r="C917">
        <v>17960</v>
      </c>
      <c r="D917">
        <v>480</v>
      </c>
      <c r="E917">
        <v>6</v>
      </c>
      <c r="F917">
        <v>1.88</v>
      </c>
      <c r="G917">
        <v>7.6</v>
      </c>
      <c r="H917">
        <v>93.3</v>
      </c>
      <c r="I917">
        <v>93.7</v>
      </c>
      <c r="J917">
        <v>92</v>
      </c>
      <c r="K917">
        <v>94</v>
      </c>
      <c r="L917">
        <v>0</v>
      </c>
      <c r="M917">
        <v>25</v>
      </c>
      <c r="N917" t="s">
        <v>29</v>
      </c>
      <c r="O917" s="8">
        <v>52.333300000000001</v>
      </c>
      <c r="P917" s="7">
        <v>-131.21700000000001</v>
      </c>
    </row>
    <row r="918" spans="1:16">
      <c r="A918">
        <v>1969</v>
      </c>
      <c r="B918">
        <v>1</v>
      </c>
      <c r="C918">
        <v>13695</v>
      </c>
      <c r="D918">
        <v>366</v>
      </c>
      <c r="E918">
        <v>69</v>
      </c>
      <c r="F918">
        <v>4.13</v>
      </c>
      <c r="G918">
        <v>7.9</v>
      </c>
      <c r="H918">
        <v>121</v>
      </c>
      <c r="I918">
        <v>121</v>
      </c>
      <c r="J918">
        <v>121</v>
      </c>
      <c r="K918">
        <v>121</v>
      </c>
      <c r="L918">
        <v>0</v>
      </c>
      <c r="M918">
        <v>25</v>
      </c>
      <c r="N918" t="s">
        <v>29</v>
      </c>
      <c r="O918" s="8">
        <v>52.333300000000001</v>
      </c>
      <c r="P918" s="7">
        <v>-131.21700000000001</v>
      </c>
    </row>
    <row r="919" spans="1:16">
      <c r="A919">
        <v>1970</v>
      </c>
      <c r="B919">
        <v>5</v>
      </c>
      <c r="C919">
        <v>119699</v>
      </c>
      <c r="D919">
        <v>3199</v>
      </c>
      <c r="E919">
        <v>82</v>
      </c>
      <c r="F919">
        <v>3.1</v>
      </c>
      <c r="G919">
        <v>7.9</v>
      </c>
      <c r="H919">
        <v>95</v>
      </c>
      <c r="I919">
        <v>94.9</v>
      </c>
      <c r="J919">
        <v>92</v>
      </c>
      <c r="K919">
        <v>97</v>
      </c>
      <c r="L919">
        <v>0</v>
      </c>
      <c r="M919">
        <v>25</v>
      </c>
      <c r="N919" t="s">
        <v>29</v>
      </c>
      <c r="O919" s="8">
        <v>52.333300000000001</v>
      </c>
      <c r="P919" s="7">
        <v>-131.21700000000001</v>
      </c>
    </row>
    <row r="920" spans="1:16">
      <c r="A920">
        <v>1971</v>
      </c>
      <c r="B920">
        <v>0</v>
      </c>
      <c r="C920">
        <v>0</v>
      </c>
      <c r="D920">
        <v>0</v>
      </c>
      <c r="E920">
        <v>0</v>
      </c>
      <c r="F920">
        <v>0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>
        <v>0</v>
      </c>
      <c r="M920">
        <v>25</v>
      </c>
      <c r="N920" t="s">
        <v>29</v>
      </c>
      <c r="O920" s="8">
        <v>52.333300000000001</v>
      </c>
      <c r="P920" s="7">
        <v>-131.21700000000001</v>
      </c>
    </row>
    <row r="921" spans="1:16">
      <c r="A921">
        <v>1972</v>
      </c>
      <c r="B921">
        <v>5</v>
      </c>
      <c r="C921">
        <v>183698</v>
      </c>
      <c r="D921">
        <v>6398</v>
      </c>
      <c r="E921">
        <v>22</v>
      </c>
      <c r="F921">
        <v>2.78</v>
      </c>
      <c r="G921">
        <v>6.4</v>
      </c>
      <c r="H921">
        <v>97.4</v>
      </c>
      <c r="I921">
        <v>98.7</v>
      </c>
      <c r="J921">
        <v>95</v>
      </c>
      <c r="K921">
        <v>99</v>
      </c>
      <c r="L921">
        <v>0</v>
      </c>
      <c r="M921">
        <v>25</v>
      </c>
      <c r="N921" t="s">
        <v>29</v>
      </c>
      <c r="O921" s="8">
        <v>52.333300000000001</v>
      </c>
      <c r="P921" s="7">
        <v>-131.21700000000001</v>
      </c>
    </row>
    <row r="922" spans="1:16">
      <c r="A922">
        <v>1973</v>
      </c>
      <c r="B922">
        <v>16</v>
      </c>
      <c r="C922">
        <v>138015</v>
      </c>
      <c r="D922">
        <v>6873</v>
      </c>
      <c r="E922">
        <v>29</v>
      </c>
      <c r="F922">
        <v>2.41</v>
      </c>
      <c r="G922">
        <v>7.7</v>
      </c>
      <c r="H922">
        <v>102.4</v>
      </c>
      <c r="I922">
        <v>103.5</v>
      </c>
      <c r="J922">
        <v>91</v>
      </c>
      <c r="K922">
        <v>104</v>
      </c>
      <c r="L922">
        <v>0</v>
      </c>
      <c r="M922">
        <v>25</v>
      </c>
      <c r="N922" t="s">
        <v>29</v>
      </c>
      <c r="O922" s="8">
        <v>52.333300000000001</v>
      </c>
      <c r="P922" s="7">
        <v>-131.21700000000001</v>
      </c>
    </row>
    <row r="923" spans="1:16">
      <c r="A923">
        <v>1974</v>
      </c>
      <c r="B923">
        <v>15</v>
      </c>
      <c r="C923">
        <v>482101</v>
      </c>
      <c r="D923">
        <v>23329</v>
      </c>
      <c r="E923">
        <v>14</v>
      </c>
      <c r="F923">
        <v>2.75</v>
      </c>
      <c r="G923">
        <v>7.1</v>
      </c>
      <c r="H923">
        <v>95.3</v>
      </c>
      <c r="I923">
        <v>91</v>
      </c>
      <c r="J923">
        <v>84</v>
      </c>
      <c r="K923">
        <v>105</v>
      </c>
      <c r="L923">
        <v>0</v>
      </c>
      <c r="M923">
        <v>25</v>
      </c>
      <c r="N923" t="s">
        <v>29</v>
      </c>
      <c r="O923" s="8">
        <v>52.333300000000001</v>
      </c>
      <c r="P923" s="7">
        <v>-131.21700000000001</v>
      </c>
    </row>
    <row r="924" spans="1:16">
      <c r="A924">
        <v>1975</v>
      </c>
      <c r="B924">
        <v>6</v>
      </c>
      <c r="C924">
        <v>303394</v>
      </c>
      <c r="D924">
        <v>11699</v>
      </c>
      <c r="E924">
        <v>14</v>
      </c>
      <c r="F924">
        <v>2.81</v>
      </c>
      <c r="G924" t="s">
        <v>0</v>
      </c>
      <c r="H924">
        <v>95.3</v>
      </c>
      <c r="I924">
        <v>94.6</v>
      </c>
      <c r="J924">
        <v>89</v>
      </c>
      <c r="K924">
        <v>99</v>
      </c>
      <c r="L924">
        <v>0</v>
      </c>
      <c r="M924">
        <v>25</v>
      </c>
      <c r="N924" t="s">
        <v>29</v>
      </c>
      <c r="O924" s="8">
        <v>52.333300000000001</v>
      </c>
      <c r="P924" s="7">
        <v>-131.21700000000001</v>
      </c>
    </row>
    <row r="925" spans="1:16">
      <c r="A925">
        <v>1976</v>
      </c>
      <c r="B925">
        <v>14</v>
      </c>
      <c r="C925">
        <v>370387</v>
      </c>
      <c r="D925">
        <v>15035</v>
      </c>
      <c r="E925">
        <v>12</v>
      </c>
      <c r="F925">
        <v>2.37</v>
      </c>
      <c r="G925">
        <v>6.6</v>
      </c>
      <c r="H925">
        <v>98.4</v>
      </c>
      <c r="I925">
        <v>103.4</v>
      </c>
      <c r="J925">
        <v>76</v>
      </c>
      <c r="K925">
        <v>110</v>
      </c>
      <c r="L925">
        <v>0</v>
      </c>
      <c r="M925">
        <v>25</v>
      </c>
      <c r="N925" t="s">
        <v>29</v>
      </c>
      <c r="O925" s="8">
        <v>52.333300000000001</v>
      </c>
      <c r="P925" s="7">
        <v>-131.21700000000001</v>
      </c>
    </row>
    <row r="926" spans="1:16">
      <c r="A926">
        <v>1977</v>
      </c>
      <c r="B926">
        <v>8</v>
      </c>
      <c r="C926">
        <v>588565</v>
      </c>
      <c r="D926">
        <v>19742</v>
      </c>
      <c r="E926">
        <v>9</v>
      </c>
      <c r="F926">
        <v>3.75</v>
      </c>
      <c r="G926">
        <v>7.9</v>
      </c>
      <c r="H926">
        <v>90.3</v>
      </c>
      <c r="I926">
        <v>90</v>
      </c>
      <c r="J926">
        <v>83</v>
      </c>
      <c r="K926">
        <v>95</v>
      </c>
      <c r="L926">
        <v>0</v>
      </c>
      <c r="M926">
        <v>25</v>
      </c>
      <c r="N926" t="s">
        <v>29</v>
      </c>
      <c r="O926" s="8">
        <v>52.333300000000001</v>
      </c>
      <c r="P926" s="7">
        <v>-131.21700000000001</v>
      </c>
    </row>
    <row r="927" spans="1:16">
      <c r="A927">
        <v>1978</v>
      </c>
      <c r="B927">
        <v>20</v>
      </c>
      <c r="C927">
        <v>566731</v>
      </c>
      <c r="D927">
        <v>18098</v>
      </c>
      <c r="E927">
        <v>22</v>
      </c>
      <c r="F927">
        <v>2.75</v>
      </c>
      <c r="G927">
        <v>8.3000000000000007</v>
      </c>
      <c r="H927">
        <v>95.4</v>
      </c>
      <c r="I927">
        <v>98.4</v>
      </c>
      <c r="J927">
        <v>82</v>
      </c>
      <c r="K927">
        <v>108</v>
      </c>
      <c r="L927">
        <v>0</v>
      </c>
      <c r="M927">
        <v>25</v>
      </c>
      <c r="N927" t="s">
        <v>29</v>
      </c>
      <c r="O927" s="8">
        <v>52.333300000000001</v>
      </c>
      <c r="P927" s="7">
        <v>-131.21700000000001</v>
      </c>
    </row>
    <row r="928" spans="1:16">
      <c r="A928">
        <v>1979</v>
      </c>
      <c r="B928">
        <v>19</v>
      </c>
      <c r="C928">
        <v>511325</v>
      </c>
      <c r="D928">
        <v>16405</v>
      </c>
      <c r="E928">
        <v>18</v>
      </c>
      <c r="F928">
        <v>2.82</v>
      </c>
      <c r="G928">
        <v>7.5</v>
      </c>
      <c r="H928">
        <v>99.5</v>
      </c>
      <c r="I928">
        <v>99.7</v>
      </c>
      <c r="J928">
        <v>91</v>
      </c>
      <c r="K928">
        <v>103</v>
      </c>
      <c r="L928">
        <v>0</v>
      </c>
      <c r="M928">
        <v>25</v>
      </c>
      <c r="N928" t="s">
        <v>29</v>
      </c>
      <c r="O928" s="8">
        <v>52.333300000000001</v>
      </c>
      <c r="P928" s="7">
        <v>-131.21700000000001</v>
      </c>
    </row>
    <row r="929" spans="1:16">
      <c r="A929">
        <v>1980</v>
      </c>
      <c r="B929">
        <v>38</v>
      </c>
      <c r="C929">
        <v>875254</v>
      </c>
      <c r="D929">
        <v>30485</v>
      </c>
      <c r="E929">
        <v>22</v>
      </c>
      <c r="F929">
        <v>2.94</v>
      </c>
      <c r="G929">
        <v>7.9</v>
      </c>
      <c r="H929">
        <v>88.7</v>
      </c>
      <c r="I929">
        <v>84.4</v>
      </c>
      <c r="J929">
        <v>69</v>
      </c>
      <c r="K929">
        <v>117</v>
      </c>
      <c r="L929">
        <v>0</v>
      </c>
      <c r="M929">
        <v>25</v>
      </c>
      <c r="N929" t="s">
        <v>29</v>
      </c>
      <c r="O929" s="8">
        <v>52.333300000000001</v>
      </c>
      <c r="P929" s="7">
        <v>-131.21700000000001</v>
      </c>
    </row>
    <row r="930" spans="1:16">
      <c r="A930">
        <v>1981</v>
      </c>
      <c r="B930">
        <v>71</v>
      </c>
      <c r="C930">
        <v>653907</v>
      </c>
      <c r="D930">
        <v>26607</v>
      </c>
      <c r="E930">
        <v>31</v>
      </c>
      <c r="F930">
        <v>1.61</v>
      </c>
      <c r="G930">
        <v>9</v>
      </c>
      <c r="H930">
        <v>75.900000000000006</v>
      </c>
      <c r="I930">
        <v>77.099999999999994</v>
      </c>
      <c r="J930">
        <v>60</v>
      </c>
      <c r="K930">
        <v>97</v>
      </c>
      <c r="L930">
        <v>0</v>
      </c>
      <c r="M930">
        <v>25</v>
      </c>
      <c r="N930" t="s">
        <v>29</v>
      </c>
      <c r="O930" s="8">
        <v>52.333300000000001</v>
      </c>
      <c r="P930" s="7">
        <v>-131.21700000000001</v>
      </c>
    </row>
    <row r="931" spans="1:16">
      <c r="A931">
        <v>1982</v>
      </c>
      <c r="B931">
        <v>54</v>
      </c>
      <c r="C931">
        <v>902762</v>
      </c>
      <c r="D931">
        <v>34722</v>
      </c>
      <c r="E931">
        <v>24</v>
      </c>
      <c r="F931">
        <v>2.4300000000000002</v>
      </c>
      <c r="G931">
        <v>7.6</v>
      </c>
      <c r="H931">
        <v>73.900000000000006</v>
      </c>
      <c r="I931">
        <v>75.599999999999994</v>
      </c>
      <c r="J931">
        <v>66</v>
      </c>
      <c r="K931">
        <v>91</v>
      </c>
      <c r="L931">
        <v>0</v>
      </c>
      <c r="M931">
        <v>25</v>
      </c>
      <c r="N931" t="s">
        <v>29</v>
      </c>
      <c r="O931" s="8">
        <v>52.333300000000001</v>
      </c>
      <c r="P931" s="7">
        <v>-131.21700000000001</v>
      </c>
    </row>
    <row r="932" spans="1:16">
      <c r="A932">
        <v>1983</v>
      </c>
      <c r="B932">
        <v>17</v>
      </c>
      <c r="C932">
        <v>128154</v>
      </c>
      <c r="D932">
        <v>5771</v>
      </c>
      <c r="E932">
        <v>28</v>
      </c>
      <c r="F932">
        <v>2.2999999999999998</v>
      </c>
      <c r="G932" t="s">
        <v>0</v>
      </c>
      <c r="H932">
        <v>75.7</v>
      </c>
      <c r="I932">
        <v>70.900000000000006</v>
      </c>
      <c r="J932">
        <v>60</v>
      </c>
      <c r="K932">
        <v>129</v>
      </c>
      <c r="L932">
        <v>0</v>
      </c>
      <c r="M932">
        <v>25</v>
      </c>
      <c r="N932" t="s">
        <v>29</v>
      </c>
      <c r="O932" s="8">
        <v>52.333300000000001</v>
      </c>
      <c r="P932" s="7">
        <v>-131.21700000000001</v>
      </c>
    </row>
    <row r="933" spans="1:16">
      <c r="A933">
        <v>1984</v>
      </c>
      <c r="B933">
        <v>32</v>
      </c>
      <c r="C933">
        <v>467583</v>
      </c>
      <c r="D933">
        <v>17770</v>
      </c>
      <c r="E933">
        <v>40</v>
      </c>
      <c r="F933">
        <v>2.95</v>
      </c>
      <c r="G933">
        <v>8.3000000000000007</v>
      </c>
      <c r="H933">
        <v>77.8</v>
      </c>
      <c r="I933">
        <v>79.8</v>
      </c>
      <c r="J933">
        <v>72</v>
      </c>
      <c r="K933">
        <v>89</v>
      </c>
      <c r="L933">
        <v>0</v>
      </c>
      <c r="M933">
        <v>25</v>
      </c>
      <c r="N933" t="s">
        <v>29</v>
      </c>
      <c r="O933" s="8">
        <v>52.333300000000001</v>
      </c>
      <c r="P933" s="7">
        <v>-131.21700000000001</v>
      </c>
    </row>
    <row r="934" spans="1:16">
      <c r="A934">
        <v>1985</v>
      </c>
      <c r="B934">
        <v>22</v>
      </c>
      <c r="C934">
        <v>507338</v>
      </c>
      <c r="D934">
        <v>17670</v>
      </c>
      <c r="E934">
        <v>23</v>
      </c>
      <c r="F934">
        <v>3.29</v>
      </c>
      <c r="G934">
        <v>7.2</v>
      </c>
      <c r="H934">
        <v>90.3</v>
      </c>
      <c r="I934">
        <v>89.7</v>
      </c>
      <c r="J934">
        <v>89</v>
      </c>
      <c r="K934">
        <v>91</v>
      </c>
      <c r="L934">
        <v>0</v>
      </c>
      <c r="M934">
        <v>25</v>
      </c>
      <c r="N934" t="s">
        <v>29</v>
      </c>
      <c r="O934" s="8">
        <v>52.333300000000001</v>
      </c>
      <c r="P934" s="7">
        <v>-131.21700000000001</v>
      </c>
    </row>
    <row r="935" spans="1:16">
      <c r="A935">
        <v>1986</v>
      </c>
      <c r="B935">
        <v>2</v>
      </c>
      <c r="C935">
        <v>41716</v>
      </c>
      <c r="D935">
        <v>1470</v>
      </c>
      <c r="E935">
        <v>40</v>
      </c>
      <c r="F935">
        <v>1.1299999999999999</v>
      </c>
      <c r="G935">
        <v>7.7</v>
      </c>
      <c r="H935">
        <v>98.5</v>
      </c>
      <c r="I935">
        <v>100.7</v>
      </c>
      <c r="J935">
        <v>96</v>
      </c>
      <c r="K935">
        <v>101</v>
      </c>
      <c r="L935">
        <v>0</v>
      </c>
      <c r="M935">
        <v>25</v>
      </c>
      <c r="N935" t="s">
        <v>29</v>
      </c>
      <c r="O935" s="8">
        <v>52.333300000000001</v>
      </c>
      <c r="P935" s="7">
        <v>-131.21700000000001</v>
      </c>
    </row>
    <row r="936" spans="1:16">
      <c r="A936">
        <v>1987</v>
      </c>
      <c r="B936">
        <v>27</v>
      </c>
      <c r="C936">
        <v>394535</v>
      </c>
      <c r="D936">
        <v>14835</v>
      </c>
      <c r="E936">
        <v>24</v>
      </c>
      <c r="F936">
        <v>2.21</v>
      </c>
      <c r="G936">
        <v>8.1</v>
      </c>
      <c r="H936">
        <v>72.3</v>
      </c>
      <c r="I936">
        <v>72.8</v>
      </c>
      <c r="J936">
        <v>66</v>
      </c>
      <c r="K936">
        <v>82</v>
      </c>
      <c r="L936">
        <v>0</v>
      </c>
      <c r="M936">
        <v>25</v>
      </c>
      <c r="N936" t="s">
        <v>29</v>
      </c>
      <c r="O936" s="8">
        <v>52.333300000000001</v>
      </c>
      <c r="P936" s="7">
        <v>-131.21700000000001</v>
      </c>
    </row>
    <row r="937" spans="1:16">
      <c r="A937">
        <v>1988</v>
      </c>
      <c r="B937">
        <v>11</v>
      </c>
      <c r="C937">
        <v>231418</v>
      </c>
      <c r="D937">
        <v>8853</v>
      </c>
      <c r="E937">
        <v>46</v>
      </c>
      <c r="F937">
        <v>1.51</v>
      </c>
      <c r="G937">
        <v>7.7</v>
      </c>
      <c r="H937">
        <v>92.6</v>
      </c>
      <c r="I937">
        <v>90.5</v>
      </c>
      <c r="J937">
        <v>87</v>
      </c>
      <c r="K937">
        <v>95</v>
      </c>
      <c r="L937">
        <v>52</v>
      </c>
      <c r="M937">
        <v>25</v>
      </c>
      <c r="N937" t="s">
        <v>29</v>
      </c>
      <c r="O937" s="8">
        <v>52.333300000000001</v>
      </c>
      <c r="P937" s="7">
        <v>-131.21700000000001</v>
      </c>
    </row>
    <row r="938" spans="1:16">
      <c r="A938">
        <v>1989</v>
      </c>
      <c r="B938">
        <v>3</v>
      </c>
      <c r="C938">
        <v>480412</v>
      </c>
      <c r="D938">
        <v>17590</v>
      </c>
      <c r="E938">
        <v>54</v>
      </c>
      <c r="F938">
        <v>1.1299999999999999</v>
      </c>
      <c r="G938">
        <v>5.8</v>
      </c>
      <c r="H938">
        <v>81.7</v>
      </c>
      <c r="I938">
        <v>77.3</v>
      </c>
      <c r="J938">
        <v>75</v>
      </c>
      <c r="K938">
        <v>95</v>
      </c>
      <c r="L938">
        <v>100</v>
      </c>
      <c r="M938">
        <v>25</v>
      </c>
      <c r="N938" t="s">
        <v>29</v>
      </c>
      <c r="O938" s="8">
        <v>52.333300000000001</v>
      </c>
      <c r="P938" s="7">
        <v>-131.21700000000001</v>
      </c>
    </row>
    <row r="939" spans="1:16">
      <c r="A939">
        <v>1990</v>
      </c>
      <c r="B939">
        <v>2</v>
      </c>
      <c r="C939">
        <v>199549</v>
      </c>
      <c r="D939">
        <v>8380</v>
      </c>
      <c r="E939">
        <v>37</v>
      </c>
      <c r="F939">
        <v>1.83</v>
      </c>
      <c r="G939">
        <v>8.6</v>
      </c>
      <c r="H939">
        <v>97</v>
      </c>
      <c r="I939">
        <v>97</v>
      </c>
      <c r="J939">
        <v>97</v>
      </c>
      <c r="K939">
        <v>97</v>
      </c>
      <c r="L939">
        <v>100</v>
      </c>
      <c r="M939">
        <v>25</v>
      </c>
      <c r="N939" t="s">
        <v>29</v>
      </c>
      <c r="O939" s="8">
        <v>52.333300000000001</v>
      </c>
      <c r="P939" s="7">
        <v>-131.21700000000001</v>
      </c>
    </row>
    <row r="940" spans="1:16">
      <c r="A940">
        <v>1991</v>
      </c>
      <c r="B940">
        <v>2</v>
      </c>
      <c r="C940">
        <v>133510</v>
      </c>
      <c r="D940">
        <v>4650</v>
      </c>
      <c r="E940">
        <v>32</v>
      </c>
      <c r="F940">
        <v>1</v>
      </c>
      <c r="G940">
        <v>7</v>
      </c>
      <c r="H940">
        <v>90</v>
      </c>
      <c r="I940">
        <v>90</v>
      </c>
      <c r="J940">
        <v>90</v>
      </c>
      <c r="K940">
        <v>90</v>
      </c>
      <c r="L940">
        <v>100</v>
      </c>
      <c r="M940">
        <v>25</v>
      </c>
      <c r="N940" t="s">
        <v>29</v>
      </c>
      <c r="O940" s="8">
        <v>52.333300000000001</v>
      </c>
      <c r="P940" s="7">
        <v>-131.21700000000001</v>
      </c>
    </row>
    <row r="941" spans="1:16">
      <c r="A941">
        <v>1992</v>
      </c>
      <c r="B941">
        <v>3</v>
      </c>
      <c r="C941">
        <v>211931</v>
      </c>
      <c r="D941">
        <v>8900</v>
      </c>
      <c r="E941">
        <v>83</v>
      </c>
      <c r="F941">
        <v>1.21</v>
      </c>
      <c r="G941">
        <v>9.1</v>
      </c>
      <c r="H941">
        <v>92.3</v>
      </c>
      <c r="I941">
        <v>92</v>
      </c>
      <c r="J941">
        <v>91</v>
      </c>
      <c r="K941">
        <v>94</v>
      </c>
      <c r="L941">
        <v>100</v>
      </c>
      <c r="M941">
        <v>25</v>
      </c>
      <c r="N941" t="s">
        <v>29</v>
      </c>
      <c r="O941" s="8">
        <v>52.333300000000001</v>
      </c>
      <c r="P941" s="7">
        <v>-131.21700000000001</v>
      </c>
    </row>
    <row r="942" spans="1:16">
      <c r="A942">
        <v>1993</v>
      </c>
      <c r="B942">
        <v>9</v>
      </c>
      <c r="C942">
        <v>580917</v>
      </c>
      <c r="D942">
        <v>22050</v>
      </c>
      <c r="E942">
        <v>50</v>
      </c>
      <c r="F942">
        <v>1.68</v>
      </c>
      <c r="G942">
        <v>7.8</v>
      </c>
      <c r="H942">
        <v>94.7</v>
      </c>
      <c r="I942">
        <v>93.9</v>
      </c>
      <c r="J942">
        <v>83</v>
      </c>
      <c r="K942">
        <v>114</v>
      </c>
      <c r="L942">
        <v>100</v>
      </c>
      <c r="M942">
        <v>25</v>
      </c>
      <c r="N942" t="s">
        <v>29</v>
      </c>
      <c r="O942" s="8">
        <v>52.333300000000001</v>
      </c>
      <c r="P942" s="7">
        <v>-131.21700000000001</v>
      </c>
    </row>
    <row r="943" spans="1:16">
      <c r="A943">
        <v>1994</v>
      </c>
      <c r="B943">
        <v>11</v>
      </c>
      <c r="C943">
        <v>390015</v>
      </c>
      <c r="D943">
        <v>13560</v>
      </c>
      <c r="E943">
        <v>45</v>
      </c>
      <c r="F943">
        <v>1.59</v>
      </c>
      <c r="G943" t="s">
        <v>0</v>
      </c>
      <c r="H943">
        <v>81.8</v>
      </c>
      <c r="I943" t="s">
        <v>0</v>
      </c>
      <c r="J943">
        <v>80</v>
      </c>
      <c r="K943">
        <v>84</v>
      </c>
      <c r="L943">
        <v>90</v>
      </c>
      <c r="M943">
        <v>25</v>
      </c>
      <c r="N943" t="s">
        <v>29</v>
      </c>
      <c r="O943" s="8">
        <v>52.333300000000001</v>
      </c>
      <c r="P943" s="7">
        <v>-131.21700000000001</v>
      </c>
    </row>
    <row r="944" spans="1:16">
      <c r="A944">
        <v>1995</v>
      </c>
      <c r="B944">
        <v>7</v>
      </c>
      <c r="C944">
        <v>325622</v>
      </c>
      <c r="D944">
        <v>12925</v>
      </c>
      <c r="E944">
        <v>94</v>
      </c>
      <c r="F944">
        <v>1.52</v>
      </c>
      <c r="G944">
        <v>6.9</v>
      </c>
      <c r="H944">
        <v>80.3</v>
      </c>
      <c r="I944">
        <v>73.400000000000006</v>
      </c>
      <c r="J944">
        <v>72</v>
      </c>
      <c r="K944">
        <v>102</v>
      </c>
      <c r="L944">
        <v>98</v>
      </c>
      <c r="M944">
        <v>25</v>
      </c>
      <c r="N944" t="s">
        <v>29</v>
      </c>
      <c r="O944" s="8">
        <v>52.333300000000001</v>
      </c>
      <c r="P944" s="7">
        <v>-131.21700000000001</v>
      </c>
    </row>
    <row r="945" spans="1:16">
      <c r="A945">
        <v>1996</v>
      </c>
      <c r="B945">
        <v>6</v>
      </c>
      <c r="C945">
        <v>191766</v>
      </c>
      <c r="D945">
        <v>9675</v>
      </c>
      <c r="E945">
        <v>91</v>
      </c>
      <c r="F945">
        <v>2.06</v>
      </c>
      <c r="G945">
        <v>6.9</v>
      </c>
      <c r="H945">
        <v>91.2</v>
      </c>
      <c r="I945">
        <v>91.4</v>
      </c>
      <c r="J945">
        <v>89</v>
      </c>
      <c r="K945">
        <v>93</v>
      </c>
      <c r="L945">
        <v>100</v>
      </c>
      <c r="M945">
        <v>25</v>
      </c>
      <c r="N945" t="s">
        <v>29</v>
      </c>
      <c r="O945" s="8">
        <v>52.333300000000001</v>
      </c>
      <c r="P945" s="7">
        <v>-131.21700000000001</v>
      </c>
    </row>
    <row r="946" spans="1:16">
      <c r="A946">
        <v>1997</v>
      </c>
      <c r="B946">
        <v>8</v>
      </c>
      <c r="C946">
        <v>448368</v>
      </c>
      <c r="D946">
        <v>15860</v>
      </c>
      <c r="E946">
        <v>74</v>
      </c>
      <c r="F946">
        <v>1.5</v>
      </c>
      <c r="G946">
        <v>6.8</v>
      </c>
      <c r="H946">
        <v>84</v>
      </c>
      <c r="I946">
        <v>87</v>
      </c>
      <c r="J946">
        <v>65</v>
      </c>
      <c r="K946">
        <v>99</v>
      </c>
      <c r="L946">
        <v>100</v>
      </c>
      <c r="M946">
        <v>25</v>
      </c>
      <c r="N946" t="s">
        <v>29</v>
      </c>
      <c r="O946" s="8">
        <v>52.333300000000001</v>
      </c>
      <c r="P946" s="7">
        <v>-131.21700000000001</v>
      </c>
    </row>
    <row r="947" spans="1:16">
      <c r="A947">
        <v>1998</v>
      </c>
      <c r="B947">
        <v>8</v>
      </c>
      <c r="C947">
        <v>652360</v>
      </c>
      <c r="D947">
        <v>22100</v>
      </c>
      <c r="E947">
        <v>92</v>
      </c>
      <c r="F947">
        <v>1.86</v>
      </c>
      <c r="G947">
        <v>8.6999999999999993</v>
      </c>
      <c r="H947">
        <v>73.599999999999994</v>
      </c>
      <c r="I947">
        <v>72.400000000000006</v>
      </c>
      <c r="J947">
        <v>70</v>
      </c>
      <c r="K947">
        <v>77</v>
      </c>
      <c r="L947">
        <v>100</v>
      </c>
      <c r="M947">
        <v>25</v>
      </c>
      <c r="N947" t="s">
        <v>29</v>
      </c>
      <c r="O947" s="8">
        <v>52.333300000000001</v>
      </c>
      <c r="P947" s="7">
        <v>-131.21700000000001</v>
      </c>
    </row>
    <row r="948" spans="1:16">
      <c r="A948">
        <v>1999</v>
      </c>
      <c r="B948">
        <v>16</v>
      </c>
      <c r="C948">
        <v>579139</v>
      </c>
      <c r="D948">
        <v>22050</v>
      </c>
      <c r="E948">
        <v>54</v>
      </c>
      <c r="F948">
        <v>0.78</v>
      </c>
      <c r="G948">
        <v>7.3</v>
      </c>
      <c r="H948">
        <v>77.900000000000006</v>
      </c>
      <c r="I948">
        <v>76</v>
      </c>
      <c r="J948">
        <v>54</v>
      </c>
      <c r="K948">
        <v>86</v>
      </c>
      <c r="L948">
        <v>89</v>
      </c>
      <c r="M948">
        <v>25</v>
      </c>
      <c r="N948" t="s">
        <v>29</v>
      </c>
      <c r="O948" s="8">
        <v>52.333300000000001</v>
      </c>
      <c r="P948" s="7">
        <v>-131.21700000000001</v>
      </c>
    </row>
    <row r="949" spans="1:16">
      <c r="A949">
        <v>2000</v>
      </c>
      <c r="B949">
        <v>4</v>
      </c>
      <c r="C949">
        <v>130944</v>
      </c>
      <c r="D949">
        <v>4500</v>
      </c>
      <c r="E949">
        <v>99</v>
      </c>
      <c r="F949">
        <v>1.1200000000000001</v>
      </c>
      <c r="G949">
        <v>7.4</v>
      </c>
      <c r="H949">
        <v>75.8</v>
      </c>
      <c r="I949">
        <v>66.400000000000006</v>
      </c>
      <c r="J949">
        <v>59</v>
      </c>
      <c r="K949">
        <v>93</v>
      </c>
      <c r="L949">
        <v>85</v>
      </c>
      <c r="M949">
        <v>25</v>
      </c>
      <c r="N949" t="s">
        <v>29</v>
      </c>
      <c r="O949" s="8">
        <v>52.333300000000001</v>
      </c>
      <c r="P949" s="7">
        <v>-131.21700000000001</v>
      </c>
    </row>
    <row r="950" spans="1:16">
      <c r="A950">
        <v>2001</v>
      </c>
      <c r="B950">
        <v>8</v>
      </c>
      <c r="C950">
        <v>255944</v>
      </c>
      <c r="D950">
        <v>10050</v>
      </c>
      <c r="E950">
        <v>65</v>
      </c>
      <c r="F950">
        <v>1.53</v>
      </c>
      <c r="G950">
        <v>7.1</v>
      </c>
      <c r="H950">
        <v>66.5</v>
      </c>
      <c r="I950">
        <v>66.099999999999994</v>
      </c>
      <c r="J950">
        <v>60</v>
      </c>
      <c r="K950">
        <v>86</v>
      </c>
      <c r="L950">
        <v>100</v>
      </c>
      <c r="M950">
        <v>25</v>
      </c>
      <c r="N950" t="s">
        <v>29</v>
      </c>
      <c r="O950" s="8">
        <v>52.333300000000001</v>
      </c>
      <c r="P950" s="7">
        <v>-131.21700000000001</v>
      </c>
    </row>
    <row r="951" spans="1:16">
      <c r="A951">
        <v>2002</v>
      </c>
      <c r="B951">
        <v>2</v>
      </c>
      <c r="C951">
        <v>86135</v>
      </c>
      <c r="D951">
        <v>3000</v>
      </c>
      <c r="E951">
        <v>48</v>
      </c>
      <c r="F951">
        <v>0.89</v>
      </c>
      <c r="G951">
        <v>5.8</v>
      </c>
      <c r="H951">
        <v>56</v>
      </c>
      <c r="I951">
        <v>56</v>
      </c>
      <c r="J951">
        <v>56</v>
      </c>
      <c r="K951">
        <v>56</v>
      </c>
      <c r="L951">
        <v>100</v>
      </c>
      <c r="M951">
        <v>25</v>
      </c>
      <c r="N951" t="s">
        <v>29</v>
      </c>
      <c r="O951" s="8">
        <v>52.333300000000001</v>
      </c>
      <c r="P951" s="7">
        <v>-131.21700000000001</v>
      </c>
    </row>
    <row r="952" spans="1:16">
      <c r="A952">
        <v>2003</v>
      </c>
      <c r="B952">
        <v>6</v>
      </c>
      <c r="C952">
        <v>213895</v>
      </c>
      <c r="D952">
        <v>8200</v>
      </c>
      <c r="E952">
        <v>89</v>
      </c>
      <c r="F952">
        <v>1.67</v>
      </c>
      <c r="G952">
        <v>8.1999999999999993</v>
      </c>
      <c r="H952">
        <v>87.5</v>
      </c>
      <c r="I952">
        <v>81</v>
      </c>
      <c r="J952">
        <v>53</v>
      </c>
      <c r="K952">
        <v>96</v>
      </c>
      <c r="L952">
        <v>68</v>
      </c>
      <c r="M952">
        <v>25</v>
      </c>
      <c r="N952" t="s">
        <v>29</v>
      </c>
      <c r="O952" s="8">
        <v>52.333300000000001</v>
      </c>
      <c r="P952" s="7">
        <v>-131.21700000000001</v>
      </c>
    </row>
    <row r="953" spans="1:16">
      <c r="A953">
        <v>2004</v>
      </c>
      <c r="B953">
        <v>13</v>
      </c>
      <c r="C953">
        <v>211750</v>
      </c>
      <c r="D953">
        <v>7375</v>
      </c>
      <c r="E953">
        <v>25</v>
      </c>
      <c r="F953">
        <v>2</v>
      </c>
      <c r="G953" t="s">
        <v>0</v>
      </c>
      <c r="H953">
        <v>71.099999999999994</v>
      </c>
      <c r="I953">
        <v>73.5</v>
      </c>
      <c r="J953">
        <v>45</v>
      </c>
      <c r="K953">
        <v>88</v>
      </c>
      <c r="L953">
        <v>0</v>
      </c>
      <c r="M953">
        <v>25</v>
      </c>
      <c r="N953" t="s">
        <v>29</v>
      </c>
      <c r="O953" s="8">
        <v>52.333300000000001</v>
      </c>
      <c r="P953" s="7">
        <v>-131.21700000000001</v>
      </c>
    </row>
    <row r="954" spans="1:16">
      <c r="A954">
        <v>2005</v>
      </c>
      <c r="B954">
        <v>10</v>
      </c>
      <c r="C954">
        <v>71949</v>
      </c>
      <c r="D954">
        <v>3630</v>
      </c>
      <c r="E954">
        <v>30</v>
      </c>
      <c r="F954">
        <v>1</v>
      </c>
      <c r="G954">
        <v>7</v>
      </c>
      <c r="H954">
        <v>49.6</v>
      </c>
      <c r="I954">
        <v>63.9</v>
      </c>
      <c r="J954">
        <v>46</v>
      </c>
      <c r="K954">
        <v>82</v>
      </c>
      <c r="L954">
        <v>50</v>
      </c>
      <c r="M954">
        <v>25</v>
      </c>
      <c r="N954" t="s">
        <v>29</v>
      </c>
      <c r="O954" s="8">
        <v>52.333300000000001</v>
      </c>
      <c r="P954" s="7">
        <v>-131.21700000000001</v>
      </c>
    </row>
    <row r="955" spans="1:16">
      <c r="A955">
        <v>2006</v>
      </c>
      <c r="B955">
        <v>10</v>
      </c>
      <c r="C955">
        <v>92999</v>
      </c>
      <c r="D955">
        <v>3750</v>
      </c>
      <c r="E955">
        <v>31</v>
      </c>
      <c r="F955">
        <v>0.89</v>
      </c>
      <c r="G955">
        <v>7.6</v>
      </c>
      <c r="H955">
        <v>75.5</v>
      </c>
      <c r="I955">
        <v>79.5</v>
      </c>
      <c r="J955">
        <v>62</v>
      </c>
      <c r="K955">
        <v>89</v>
      </c>
      <c r="L955">
        <v>0</v>
      </c>
      <c r="M955">
        <v>25</v>
      </c>
      <c r="N955" t="s">
        <v>29</v>
      </c>
      <c r="O955" s="8">
        <v>52.333300000000001</v>
      </c>
      <c r="P955" s="7">
        <v>-131.21700000000001</v>
      </c>
    </row>
    <row r="956" spans="1:16">
      <c r="A956">
        <v>2007</v>
      </c>
      <c r="B956">
        <v>22</v>
      </c>
      <c r="C956">
        <v>292602</v>
      </c>
      <c r="D956">
        <v>11230</v>
      </c>
      <c r="E956">
        <v>18</v>
      </c>
      <c r="F956">
        <v>1.92</v>
      </c>
      <c r="G956" t="s">
        <v>0</v>
      </c>
      <c r="H956">
        <v>80.5</v>
      </c>
      <c r="I956">
        <v>77.7</v>
      </c>
      <c r="J956">
        <v>65</v>
      </c>
      <c r="K956">
        <v>89</v>
      </c>
      <c r="L956">
        <v>21</v>
      </c>
      <c r="M956">
        <v>25</v>
      </c>
      <c r="N956" t="s">
        <v>29</v>
      </c>
      <c r="O956" s="8">
        <v>52.333300000000001</v>
      </c>
      <c r="P956" s="7">
        <v>-131.21700000000001</v>
      </c>
    </row>
    <row r="957" spans="1:16">
      <c r="A957">
        <v>2008</v>
      </c>
      <c r="B957">
        <v>4</v>
      </c>
      <c r="C957">
        <v>119505</v>
      </c>
      <c r="D957">
        <v>4720</v>
      </c>
      <c r="E957">
        <v>77</v>
      </c>
      <c r="F957">
        <v>0.59</v>
      </c>
      <c r="G957">
        <v>6.4</v>
      </c>
      <c r="H957">
        <v>91.3</v>
      </c>
      <c r="I957">
        <v>90</v>
      </c>
      <c r="J957">
        <v>75</v>
      </c>
      <c r="K957">
        <v>105</v>
      </c>
      <c r="L957">
        <v>100</v>
      </c>
      <c r="M957">
        <v>25</v>
      </c>
      <c r="N957" t="s">
        <v>29</v>
      </c>
      <c r="O957" s="8">
        <v>52.333300000000001</v>
      </c>
      <c r="P957" s="7">
        <v>-131.21700000000001</v>
      </c>
    </row>
    <row r="958" spans="1:16">
      <c r="A958">
        <v>2009</v>
      </c>
      <c r="B958">
        <v>9</v>
      </c>
      <c r="C958">
        <v>271881</v>
      </c>
      <c r="D958">
        <v>13717</v>
      </c>
      <c r="E958">
        <v>47</v>
      </c>
      <c r="F958">
        <v>0.85</v>
      </c>
      <c r="G958">
        <v>7</v>
      </c>
      <c r="H958">
        <v>89.3</v>
      </c>
      <c r="I958">
        <v>98.7</v>
      </c>
      <c r="J958">
        <v>69</v>
      </c>
      <c r="K958">
        <v>114</v>
      </c>
      <c r="L958">
        <v>62</v>
      </c>
      <c r="M958">
        <v>25</v>
      </c>
      <c r="N958" t="s">
        <v>29</v>
      </c>
      <c r="O958" s="8">
        <v>52.333300000000001</v>
      </c>
      <c r="P958" s="7">
        <v>-131.21700000000001</v>
      </c>
    </row>
    <row r="959" spans="1:16">
      <c r="A959">
        <v>2010</v>
      </c>
      <c r="B959">
        <v>4</v>
      </c>
      <c r="C959">
        <v>184713</v>
      </c>
      <c r="D959">
        <v>9050</v>
      </c>
      <c r="E959">
        <v>80</v>
      </c>
      <c r="F959">
        <v>0.99</v>
      </c>
      <c r="G959">
        <v>8.6999999999999993</v>
      </c>
      <c r="H959">
        <v>83</v>
      </c>
      <c r="I959">
        <v>79.099999999999994</v>
      </c>
      <c r="J959">
        <v>77</v>
      </c>
      <c r="K959">
        <v>89</v>
      </c>
      <c r="L959">
        <v>91</v>
      </c>
      <c r="M959">
        <v>25</v>
      </c>
      <c r="N959" t="s">
        <v>29</v>
      </c>
      <c r="O959" s="8">
        <v>52.333300000000001</v>
      </c>
      <c r="P959" s="7">
        <v>-131.21700000000001</v>
      </c>
    </row>
    <row r="960" spans="1:16">
      <c r="A960">
        <v>2011</v>
      </c>
      <c r="B960">
        <v>6</v>
      </c>
      <c r="C960">
        <v>465819</v>
      </c>
      <c r="D960">
        <v>18020</v>
      </c>
      <c r="E960">
        <v>96</v>
      </c>
      <c r="F960">
        <v>0.87</v>
      </c>
      <c r="G960" t="s">
        <v>0</v>
      </c>
      <c r="H960">
        <v>92.8</v>
      </c>
      <c r="I960">
        <v>91.3</v>
      </c>
      <c r="J960">
        <v>85</v>
      </c>
      <c r="K960">
        <v>104</v>
      </c>
      <c r="L960">
        <v>100</v>
      </c>
      <c r="M960">
        <v>25</v>
      </c>
      <c r="N960" t="s">
        <v>29</v>
      </c>
      <c r="O960" s="8">
        <v>52.333300000000001</v>
      </c>
      <c r="P960" s="7">
        <v>-131.21700000000001</v>
      </c>
    </row>
    <row r="961" spans="1:16">
      <c r="A961">
        <v>2012</v>
      </c>
      <c r="B961">
        <v>9</v>
      </c>
      <c r="C961">
        <v>345987</v>
      </c>
      <c r="D961">
        <v>15050</v>
      </c>
      <c r="E961">
        <v>52</v>
      </c>
      <c r="F961">
        <v>0.61</v>
      </c>
      <c r="G961" t="s">
        <v>0</v>
      </c>
      <c r="H961">
        <v>88.9</v>
      </c>
      <c r="I961">
        <v>89.6</v>
      </c>
      <c r="J961">
        <v>85</v>
      </c>
      <c r="K961">
        <v>95</v>
      </c>
      <c r="L961">
        <v>100</v>
      </c>
      <c r="M961">
        <v>25</v>
      </c>
      <c r="N961" t="s">
        <v>29</v>
      </c>
      <c r="O961" s="8">
        <v>52.333300000000001</v>
      </c>
      <c r="P961" s="7">
        <v>-131.21700000000001</v>
      </c>
    </row>
    <row r="962" spans="1:16">
      <c r="A962">
        <v>2013</v>
      </c>
      <c r="B962">
        <v>2</v>
      </c>
      <c r="C962">
        <v>200983</v>
      </c>
      <c r="D962">
        <v>7000</v>
      </c>
      <c r="E962">
        <v>81</v>
      </c>
      <c r="F962">
        <v>1.73</v>
      </c>
      <c r="G962" t="s">
        <v>0</v>
      </c>
      <c r="H962">
        <v>79</v>
      </c>
      <c r="I962">
        <v>79</v>
      </c>
      <c r="J962">
        <v>79</v>
      </c>
      <c r="K962">
        <v>79</v>
      </c>
      <c r="L962">
        <v>100</v>
      </c>
      <c r="M962">
        <v>25</v>
      </c>
      <c r="N962" t="s">
        <v>29</v>
      </c>
      <c r="O962" s="8">
        <v>52.333300000000001</v>
      </c>
      <c r="P962" s="7">
        <v>-131.21700000000001</v>
      </c>
    </row>
  </sheetData>
  <sortState ref="A2:P962">
    <sortCondition ref="M2:M96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topLeftCell="A332" workbookViewId="0">
      <selection activeCell="G26" sqref="G26"/>
    </sheetView>
  </sheetViews>
  <sheetFormatPr baseColWidth="10" defaultRowHeight="15" x14ac:dyDescent="0"/>
  <sheetData>
    <row r="1" spans="1:12">
      <c r="A1" t="s">
        <v>1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61</v>
      </c>
      <c r="K1" t="s">
        <v>82</v>
      </c>
      <c r="L1" t="s">
        <v>31</v>
      </c>
    </row>
    <row r="2" spans="1:12">
      <c r="A2">
        <v>1933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e">
        <f>100*(J2/SUM(G2:J2))</f>
        <v>#DIV/0!</v>
      </c>
      <c r="L2" t="s">
        <v>32</v>
      </c>
    </row>
    <row r="3" spans="1:12">
      <c r="A3">
        <v>1934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e">
        <f t="shared" ref="K3:K66" si="0">100*(J3/SUM(G3:J3))</f>
        <v>#DIV/0!</v>
      </c>
      <c r="L3" t="s">
        <v>32</v>
      </c>
    </row>
    <row r="4" spans="1:12">
      <c r="A4">
        <v>1935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e">
        <f t="shared" si="0"/>
        <v>#DIV/0!</v>
      </c>
      <c r="L4" t="s">
        <v>32</v>
      </c>
    </row>
    <row r="5" spans="1:12">
      <c r="A5">
        <v>1936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e">
        <f t="shared" si="0"/>
        <v>#DIV/0!</v>
      </c>
      <c r="L5" t="s">
        <v>32</v>
      </c>
    </row>
    <row r="6" spans="1:12">
      <c r="A6">
        <v>1937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e">
        <f t="shared" si="0"/>
        <v>#DIV/0!</v>
      </c>
      <c r="L6" t="s">
        <v>32</v>
      </c>
    </row>
    <row r="7" spans="1:12">
      <c r="A7">
        <v>1938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e">
        <f t="shared" si="0"/>
        <v>#DIV/0!</v>
      </c>
      <c r="L7" t="s">
        <v>32</v>
      </c>
    </row>
    <row r="8" spans="1:12">
      <c r="A8">
        <v>1939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e">
        <f t="shared" si="0"/>
        <v>#DIV/0!</v>
      </c>
      <c r="L8" t="s">
        <v>32</v>
      </c>
    </row>
    <row r="9" spans="1:12">
      <c r="A9">
        <v>1940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e">
        <f t="shared" si="0"/>
        <v>#DIV/0!</v>
      </c>
      <c r="L9" t="s">
        <v>32</v>
      </c>
    </row>
    <row r="10" spans="1:12">
      <c r="A10">
        <v>1941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e">
        <f t="shared" si="0"/>
        <v>#DIV/0!</v>
      </c>
      <c r="L10" t="s">
        <v>32</v>
      </c>
    </row>
    <row r="11" spans="1:12">
      <c r="A11">
        <v>1942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e">
        <f t="shared" si="0"/>
        <v>#DIV/0!</v>
      </c>
      <c r="L11" t="s">
        <v>32</v>
      </c>
    </row>
    <row r="12" spans="1:12">
      <c r="A12">
        <v>1943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e">
        <f t="shared" si="0"/>
        <v>#DIV/0!</v>
      </c>
      <c r="L12" t="s">
        <v>32</v>
      </c>
    </row>
    <row r="13" spans="1:12">
      <c r="A13">
        <v>1944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e">
        <f t="shared" si="0"/>
        <v>#DIV/0!</v>
      </c>
      <c r="L13" t="s">
        <v>32</v>
      </c>
    </row>
    <row r="14" spans="1:12">
      <c r="A14">
        <v>1945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e">
        <f t="shared" si="0"/>
        <v>#DIV/0!</v>
      </c>
      <c r="L14" t="s">
        <v>32</v>
      </c>
    </row>
    <row r="15" spans="1:12">
      <c r="A15">
        <v>1946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e">
        <f t="shared" si="0"/>
        <v>#DIV/0!</v>
      </c>
      <c r="L15" t="s">
        <v>32</v>
      </c>
    </row>
    <row r="16" spans="1:12">
      <c r="A16">
        <v>1947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e">
        <f t="shared" si="0"/>
        <v>#DIV/0!</v>
      </c>
      <c r="L16" t="s">
        <v>32</v>
      </c>
    </row>
    <row r="17" spans="1:12">
      <c r="A17">
        <v>1948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e">
        <f t="shared" si="0"/>
        <v>#DIV/0!</v>
      </c>
      <c r="L17" t="s">
        <v>32</v>
      </c>
    </row>
    <row r="18" spans="1:12">
      <c r="A18">
        <v>1949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e">
        <f t="shared" si="0"/>
        <v>#DIV/0!</v>
      </c>
      <c r="L18" t="s">
        <v>32</v>
      </c>
    </row>
    <row r="19" spans="1:12">
      <c r="A19">
        <v>1950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e">
        <f t="shared" si="0"/>
        <v>#DIV/0!</v>
      </c>
      <c r="L19" t="s">
        <v>32</v>
      </c>
    </row>
    <row r="20" spans="1:12">
      <c r="A20">
        <v>1951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e">
        <f t="shared" si="0"/>
        <v>#DIV/0!</v>
      </c>
      <c r="L20" t="s">
        <v>32</v>
      </c>
    </row>
    <row r="21" spans="1:12">
      <c r="A21">
        <v>1952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e">
        <f t="shared" si="0"/>
        <v>#DIV/0!</v>
      </c>
      <c r="L21" t="s">
        <v>32</v>
      </c>
    </row>
    <row r="22" spans="1:12">
      <c r="A22">
        <v>1953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e">
        <f t="shared" si="0"/>
        <v>#DIV/0!</v>
      </c>
      <c r="L22" t="s">
        <v>32</v>
      </c>
    </row>
    <row r="23" spans="1:12">
      <c r="A23">
        <v>1954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e">
        <f t="shared" si="0"/>
        <v>#DIV/0!</v>
      </c>
      <c r="L23" t="s">
        <v>32</v>
      </c>
    </row>
    <row r="24" spans="1:12">
      <c r="A24">
        <v>1955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e">
        <f t="shared" si="0"/>
        <v>#DIV/0!</v>
      </c>
      <c r="L24" t="s">
        <v>32</v>
      </c>
    </row>
    <row r="25" spans="1:12">
      <c r="A25">
        <v>1956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e">
        <f t="shared" si="0"/>
        <v>#DIV/0!</v>
      </c>
      <c r="L25" t="s">
        <v>32</v>
      </c>
    </row>
    <row r="26" spans="1:12">
      <c r="A26">
        <v>1957</v>
      </c>
      <c r="B26">
        <v>6</v>
      </c>
      <c r="C26">
        <v>570</v>
      </c>
      <c r="D26">
        <v>570</v>
      </c>
      <c r="E26">
        <v>0</v>
      </c>
      <c r="F26">
        <v>0</v>
      </c>
      <c r="G26">
        <v>0</v>
      </c>
      <c r="H26">
        <v>570</v>
      </c>
      <c r="I26">
        <v>0</v>
      </c>
      <c r="J26">
        <v>0</v>
      </c>
      <c r="K26">
        <f t="shared" si="0"/>
        <v>0</v>
      </c>
      <c r="L26" t="s">
        <v>32</v>
      </c>
    </row>
    <row r="27" spans="1:12">
      <c r="A27">
        <v>1958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e">
        <f t="shared" si="0"/>
        <v>#DIV/0!</v>
      </c>
      <c r="L27" t="s">
        <v>32</v>
      </c>
    </row>
    <row r="28" spans="1:12">
      <c r="A28">
        <v>1959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e">
        <f t="shared" si="0"/>
        <v>#DIV/0!</v>
      </c>
      <c r="L28" t="s">
        <v>32</v>
      </c>
    </row>
    <row r="29" spans="1:12">
      <c r="A29">
        <v>1960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e">
        <f t="shared" si="0"/>
        <v>#DIV/0!</v>
      </c>
      <c r="L29" t="s">
        <v>32</v>
      </c>
    </row>
    <row r="30" spans="1:12">
      <c r="A30">
        <v>1961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e">
        <f t="shared" si="0"/>
        <v>#DIV/0!</v>
      </c>
      <c r="L30" t="s">
        <v>32</v>
      </c>
    </row>
    <row r="31" spans="1:12">
      <c r="A31">
        <v>1962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e">
        <f t="shared" si="0"/>
        <v>#DIV/0!</v>
      </c>
      <c r="L31" t="s">
        <v>32</v>
      </c>
    </row>
    <row r="32" spans="1:12">
      <c r="A32">
        <v>1963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e">
        <f t="shared" si="0"/>
        <v>#DIV/0!</v>
      </c>
      <c r="L32" t="s">
        <v>32</v>
      </c>
    </row>
    <row r="33" spans="1:12">
      <c r="A33">
        <v>1964</v>
      </c>
      <c r="B33">
        <v>22</v>
      </c>
      <c r="C33">
        <v>2236</v>
      </c>
      <c r="D33">
        <v>2236</v>
      </c>
      <c r="E33">
        <v>0</v>
      </c>
      <c r="F33">
        <v>0</v>
      </c>
      <c r="G33">
        <v>0</v>
      </c>
      <c r="H33">
        <v>2236</v>
      </c>
      <c r="I33">
        <v>0</v>
      </c>
      <c r="J33">
        <v>0</v>
      </c>
      <c r="K33">
        <f t="shared" si="0"/>
        <v>0</v>
      </c>
      <c r="L33" t="s">
        <v>32</v>
      </c>
    </row>
    <row r="34" spans="1:12">
      <c r="A34">
        <v>1965</v>
      </c>
      <c r="B34">
        <v>32</v>
      </c>
      <c r="C34">
        <v>4277</v>
      </c>
      <c r="D34">
        <v>4277</v>
      </c>
      <c r="E34">
        <v>0</v>
      </c>
      <c r="F34">
        <v>0</v>
      </c>
      <c r="G34">
        <v>0</v>
      </c>
      <c r="H34">
        <v>4277</v>
      </c>
      <c r="I34">
        <v>0</v>
      </c>
      <c r="J34">
        <v>0</v>
      </c>
      <c r="K34">
        <f t="shared" si="0"/>
        <v>0</v>
      </c>
      <c r="L34" t="s">
        <v>32</v>
      </c>
    </row>
    <row r="35" spans="1:12">
      <c r="A35">
        <v>1966</v>
      </c>
      <c r="B35">
        <v>2</v>
      </c>
      <c r="C35">
        <v>172</v>
      </c>
      <c r="D35">
        <v>172</v>
      </c>
      <c r="E35">
        <v>0</v>
      </c>
      <c r="F35">
        <v>0</v>
      </c>
      <c r="G35">
        <v>0</v>
      </c>
      <c r="H35">
        <v>172</v>
      </c>
      <c r="I35">
        <v>0</v>
      </c>
      <c r="J35">
        <v>0</v>
      </c>
      <c r="K35">
        <f t="shared" si="0"/>
        <v>0</v>
      </c>
      <c r="L35" t="s">
        <v>32</v>
      </c>
    </row>
    <row r="36" spans="1:12">
      <c r="A36">
        <v>1967</v>
      </c>
      <c r="B36">
        <v>2</v>
      </c>
      <c r="C36">
        <v>52</v>
      </c>
      <c r="D36">
        <v>52</v>
      </c>
      <c r="E36">
        <v>0</v>
      </c>
      <c r="F36">
        <v>0</v>
      </c>
      <c r="G36">
        <v>0</v>
      </c>
      <c r="H36">
        <v>52</v>
      </c>
      <c r="I36">
        <v>0</v>
      </c>
      <c r="J36">
        <v>0</v>
      </c>
      <c r="K36">
        <f t="shared" si="0"/>
        <v>0</v>
      </c>
      <c r="L36" t="s">
        <v>32</v>
      </c>
    </row>
    <row r="37" spans="1:12">
      <c r="A37">
        <v>1968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e">
        <f t="shared" si="0"/>
        <v>#DIV/0!</v>
      </c>
      <c r="L37" t="s">
        <v>32</v>
      </c>
    </row>
    <row r="38" spans="1:12">
      <c r="A38">
        <v>1969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e">
        <f t="shared" si="0"/>
        <v>#DIV/0!</v>
      </c>
      <c r="L38" t="s">
        <v>32</v>
      </c>
    </row>
    <row r="39" spans="1:12">
      <c r="A39">
        <v>1970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e">
        <f t="shared" si="0"/>
        <v>#DIV/0!</v>
      </c>
      <c r="L39" t="s">
        <v>32</v>
      </c>
    </row>
    <row r="40" spans="1:12">
      <c r="A40">
        <v>1971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e">
        <f t="shared" si="0"/>
        <v>#DIV/0!</v>
      </c>
      <c r="L40" t="s">
        <v>32</v>
      </c>
    </row>
    <row r="41" spans="1:12">
      <c r="A41">
        <v>1972</v>
      </c>
      <c r="B41">
        <v>11</v>
      </c>
      <c r="C41">
        <v>583</v>
      </c>
      <c r="D41">
        <v>583</v>
      </c>
      <c r="E41">
        <v>0</v>
      </c>
      <c r="F41">
        <v>0</v>
      </c>
      <c r="G41">
        <v>0</v>
      </c>
      <c r="H41">
        <v>583</v>
      </c>
      <c r="I41">
        <v>0</v>
      </c>
      <c r="J41">
        <v>0</v>
      </c>
      <c r="K41">
        <f t="shared" si="0"/>
        <v>0</v>
      </c>
      <c r="L41" t="s">
        <v>32</v>
      </c>
    </row>
    <row r="42" spans="1:12">
      <c r="A42">
        <v>1973</v>
      </c>
      <c r="B42">
        <v>9</v>
      </c>
      <c r="C42">
        <v>777</v>
      </c>
      <c r="D42">
        <v>777</v>
      </c>
      <c r="E42">
        <v>0</v>
      </c>
      <c r="F42">
        <v>0</v>
      </c>
      <c r="G42">
        <v>0</v>
      </c>
      <c r="H42">
        <v>777</v>
      </c>
      <c r="I42">
        <v>0</v>
      </c>
      <c r="J42">
        <v>0</v>
      </c>
      <c r="K42">
        <f t="shared" si="0"/>
        <v>0</v>
      </c>
      <c r="L42" t="s">
        <v>32</v>
      </c>
    </row>
    <row r="43" spans="1:12">
      <c r="A43">
        <v>1974</v>
      </c>
      <c r="B43">
        <v>7</v>
      </c>
      <c r="C43">
        <v>403</v>
      </c>
      <c r="D43">
        <v>403</v>
      </c>
      <c r="E43">
        <v>0</v>
      </c>
      <c r="F43">
        <v>0</v>
      </c>
      <c r="G43">
        <v>0</v>
      </c>
      <c r="H43">
        <v>403</v>
      </c>
      <c r="I43">
        <v>0</v>
      </c>
      <c r="J43">
        <v>0</v>
      </c>
      <c r="K43">
        <f t="shared" si="0"/>
        <v>0</v>
      </c>
      <c r="L43" t="s">
        <v>32</v>
      </c>
    </row>
    <row r="44" spans="1:12">
      <c r="A44">
        <v>1975</v>
      </c>
      <c r="B44">
        <v>29</v>
      </c>
      <c r="C44">
        <v>2062</v>
      </c>
      <c r="D44">
        <v>2062</v>
      </c>
      <c r="E44">
        <v>0</v>
      </c>
      <c r="F44">
        <v>0</v>
      </c>
      <c r="G44">
        <v>0</v>
      </c>
      <c r="H44">
        <v>2062</v>
      </c>
      <c r="I44">
        <v>0</v>
      </c>
      <c r="J44">
        <v>0</v>
      </c>
      <c r="K44">
        <f t="shared" si="0"/>
        <v>0</v>
      </c>
      <c r="L44" t="s">
        <v>32</v>
      </c>
    </row>
    <row r="45" spans="1:12">
      <c r="A45">
        <v>1976</v>
      </c>
      <c r="B45">
        <v>139</v>
      </c>
      <c r="C45">
        <v>2558</v>
      </c>
      <c r="D45">
        <v>2558</v>
      </c>
      <c r="E45">
        <v>0</v>
      </c>
      <c r="F45">
        <v>0</v>
      </c>
      <c r="G45">
        <v>334</v>
      </c>
      <c r="H45">
        <v>2156</v>
      </c>
      <c r="I45">
        <v>0</v>
      </c>
      <c r="J45">
        <v>68</v>
      </c>
      <c r="K45">
        <f t="shared" si="0"/>
        <v>2.6583268178264268</v>
      </c>
      <c r="L45" t="s">
        <v>32</v>
      </c>
    </row>
    <row r="46" spans="1:12">
      <c r="A46">
        <v>1977</v>
      </c>
      <c r="B46">
        <v>46</v>
      </c>
      <c r="C46">
        <v>2603</v>
      </c>
      <c r="D46">
        <v>2603</v>
      </c>
      <c r="E46">
        <v>0</v>
      </c>
      <c r="F46">
        <v>0</v>
      </c>
      <c r="G46">
        <v>0</v>
      </c>
      <c r="H46">
        <v>2603</v>
      </c>
      <c r="I46">
        <v>0</v>
      </c>
      <c r="J46">
        <v>0</v>
      </c>
      <c r="K46">
        <f t="shared" si="0"/>
        <v>0</v>
      </c>
      <c r="L46" t="s">
        <v>32</v>
      </c>
    </row>
    <row r="47" spans="1:12">
      <c r="A47">
        <v>1978</v>
      </c>
      <c r="B47">
        <v>189</v>
      </c>
      <c r="C47">
        <v>2811</v>
      </c>
      <c r="D47">
        <v>2811</v>
      </c>
      <c r="E47">
        <v>0</v>
      </c>
      <c r="F47">
        <v>0</v>
      </c>
      <c r="G47">
        <v>531</v>
      </c>
      <c r="H47">
        <v>2279</v>
      </c>
      <c r="I47">
        <v>0</v>
      </c>
      <c r="J47">
        <v>0</v>
      </c>
      <c r="K47">
        <f t="shared" si="0"/>
        <v>0</v>
      </c>
      <c r="L47" t="s">
        <v>32</v>
      </c>
    </row>
    <row r="48" spans="1:12">
      <c r="A48">
        <v>1979</v>
      </c>
      <c r="B48">
        <v>41</v>
      </c>
      <c r="C48">
        <v>690</v>
      </c>
      <c r="D48">
        <v>690</v>
      </c>
      <c r="E48">
        <v>0</v>
      </c>
      <c r="F48">
        <v>0</v>
      </c>
      <c r="G48">
        <v>0</v>
      </c>
      <c r="H48">
        <v>690</v>
      </c>
      <c r="I48">
        <v>0</v>
      </c>
      <c r="J48">
        <v>0</v>
      </c>
      <c r="K48">
        <f t="shared" si="0"/>
        <v>0</v>
      </c>
      <c r="L48" t="s">
        <v>32</v>
      </c>
    </row>
    <row r="49" spans="1:12">
      <c r="A49">
        <v>1980</v>
      </c>
      <c r="B49">
        <v>112</v>
      </c>
      <c r="C49">
        <v>1041</v>
      </c>
      <c r="D49">
        <v>1041</v>
      </c>
      <c r="E49">
        <v>0</v>
      </c>
      <c r="F49">
        <v>0</v>
      </c>
      <c r="G49">
        <v>249</v>
      </c>
      <c r="H49">
        <v>792</v>
      </c>
      <c r="I49">
        <v>0</v>
      </c>
      <c r="J49">
        <v>0</v>
      </c>
      <c r="K49">
        <f t="shared" si="0"/>
        <v>0</v>
      </c>
      <c r="L49" t="s">
        <v>32</v>
      </c>
    </row>
    <row r="50" spans="1:12">
      <c r="A50">
        <v>1981</v>
      </c>
      <c r="B50">
        <v>27</v>
      </c>
      <c r="C50">
        <v>861</v>
      </c>
      <c r="D50">
        <v>861</v>
      </c>
      <c r="E50">
        <v>0</v>
      </c>
      <c r="F50">
        <v>0</v>
      </c>
      <c r="G50">
        <v>0</v>
      </c>
      <c r="H50">
        <v>770</v>
      </c>
      <c r="I50">
        <v>0</v>
      </c>
      <c r="J50">
        <v>91</v>
      </c>
      <c r="K50">
        <f t="shared" si="0"/>
        <v>10.569105691056912</v>
      </c>
      <c r="L50" t="s">
        <v>32</v>
      </c>
    </row>
    <row r="51" spans="1:12">
      <c r="A51">
        <v>1982</v>
      </c>
      <c r="B51">
        <v>68</v>
      </c>
      <c r="C51">
        <v>1225</v>
      </c>
      <c r="D51">
        <v>1225</v>
      </c>
      <c r="E51">
        <v>0</v>
      </c>
      <c r="F51">
        <v>0</v>
      </c>
      <c r="G51">
        <v>0</v>
      </c>
      <c r="H51">
        <v>1225</v>
      </c>
      <c r="I51">
        <v>0</v>
      </c>
      <c r="J51">
        <v>0</v>
      </c>
      <c r="K51">
        <f t="shared" si="0"/>
        <v>0</v>
      </c>
      <c r="L51" t="s">
        <v>32</v>
      </c>
    </row>
    <row r="52" spans="1:12">
      <c r="A52">
        <v>1983</v>
      </c>
      <c r="B52">
        <v>72</v>
      </c>
      <c r="C52">
        <v>2518</v>
      </c>
      <c r="D52">
        <v>2518</v>
      </c>
      <c r="E52">
        <v>0</v>
      </c>
      <c r="F52">
        <v>0</v>
      </c>
      <c r="G52">
        <v>0</v>
      </c>
      <c r="H52">
        <v>2518</v>
      </c>
      <c r="I52">
        <v>0</v>
      </c>
      <c r="J52">
        <v>0</v>
      </c>
      <c r="K52">
        <f t="shared" si="0"/>
        <v>0</v>
      </c>
      <c r="L52" t="s">
        <v>32</v>
      </c>
    </row>
    <row r="53" spans="1:12">
      <c r="A53">
        <v>1984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e">
        <f t="shared" si="0"/>
        <v>#DIV/0!</v>
      </c>
      <c r="L53" t="s">
        <v>32</v>
      </c>
    </row>
    <row r="54" spans="1:12">
      <c r="A54">
        <v>1985</v>
      </c>
      <c r="B54">
        <v>3</v>
      </c>
      <c r="C54">
        <v>199</v>
      </c>
      <c r="D54">
        <v>199</v>
      </c>
      <c r="E54">
        <v>0</v>
      </c>
      <c r="F54">
        <v>0</v>
      </c>
      <c r="G54">
        <v>0</v>
      </c>
      <c r="H54">
        <v>199</v>
      </c>
      <c r="I54">
        <v>0</v>
      </c>
      <c r="J54">
        <v>0</v>
      </c>
      <c r="K54">
        <f t="shared" si="0"/>
        <v>0</v>
      </c>
      <c r="L54" t="s">
        <v>32</v>
      </c>
    </row>
    <row r="55" spans="1:12">
      <c r="A55">
        <v>1986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e">
        <f t="shared" si="0"/>
        <v>#DIV/0!</v>
      </c>
      <c r="L55" t="s">
        <v>32</v>
      </c>
    </row>
    <row r="56" spans="1:12">
      <c r="A56">
        <v>1987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e">
        <f t="shared" si="0"/>
        <v>#DIV/0!</v>
      </c>
      <c r="L56" t="s">
        <v>32</v>
      </c>
    </row>
    <row r="57" spans="1:12">
      <c r="A57">
        <v>1988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e">
        <f t="shared" si="0"/>
        <v>#DIV/0!</v>
      </c>
      <c r="L57" t="s">
        <v>32</v>
      </c>
    </row>
    <row r="58" spans="1:12">
      <c r="A58">
        <v>1989</v>
      </c>
      <c r="B58">
        <v>27</v>
      </c>
      <c r="C58">
        <v>1419</v>
      </c>
      <c r="D58">
        <v>1419</v>
      </c>
      <c r="E58">
        <v>0</v>
      </c>
      <c r="F58">
        <v>0</v>
      </c>
      <c r="G58">
        <v>0</v>
      </c>
      <c r="H58">
        <v>1419</v>
      </c>
      <c r="I58">
        <v>0</v>
      </c>
      <c r="J58">
        <v>0</v>
      </c>
      <c r="K58">
        <f t="shared" si="0"/>
        <v>0</v>
      </c>
      <c r="L58" t="s">
        <v>32</v>
      </c>
    </row>
    <row r="59" spans="1:12">
      <c r="A59">
        <v>1990</v>
      </c>
      <c r="B59">
        <v>144</v>
      </c>
      <c r="C59">
        <v>7521</v>
      </c>
      <c r="D59">
        <v>7521</v>
      </c>
      <c r="E59">
        <v>0</v>
      </c>
      <c r="F59">
        <v>0</v>
      </c>
      <c r="G59">
        <v>0</v>
      </c>
      <c r="H59">
        <v>7521</v>
      </c>
      <c r="I59">
        <v>0</v>
      </c>
      <c r="J59">
        <v>0</v>
      </c>
      <c r="K59">
        <f t="shared" si="0"/>
        <v>0</v>
      </c>
      <c r="L59" t="s">
        <v>32</v>
      </c>
    </row>
    <row r="60" spans="1:12">
      <c r="A60">
        <v>1991</v>
      </c>
      <c r="B60">
        <v>48</v>
      </c>
      <c r="C60">
        <v>2558</v>
      </c>
      <c r="D60">
        <v>2558</v>
      </c>
      <c r="E60">
        <v>0</v>
      </c>
      <c r="F60">
        <v>0</v>
      </c>
      <c r="G60">
        <v>0</v>
      </c>
      <c r="H60">
        <v>2558</v>
      </c>
      <c r="I60">
        <v>0</v>
      </c>
      <c r="J60">
        <v>0</v>
      </c>
      <c r="K60">
        <f t="shared" si="0"/>
        <v>0</v>
      </c>
      <c r="L60" t="s">
        <v>32</v>
      </c>
    </row>
    <row r="61" spans="1:12">
      <c r="A61">
        <v>1992</v>
      </c>
      <c r="B61">
        <v>70</v>
      </c>
      <c r="C61">
        <v>3743</v>
      </c>
      <c r="D61">
        <v>3743</v>
      </c>
      <c r="E61">
        <v>0</v>
      </c>
      <c r="F61">
        <v>0</v>
      </c>
      <c r="G61">
        <v>0</v>
      </c>
      <c r="H61">
        <v>3743</v>
      </c>
      <c r="I61">
        <v>0</v>
      </c>
      <c r="J61">
        <v>0</v>
      </c>
      <c r="K61">
        <f t="shared" si="0"/>
        <v>0</v>
      </c>
      <c r="L61" t="s">
        <v>32</v>
      </c>
    </row>
    <row r="62" spans="1:12">
      <c r="A62">
        <v>1993</v>
      </c>
      <c r="B62">
        <v>48</v>
      </c>
      <c r="C62">
        <v>1305</v>
      </c>
      <c r="D62">
        <v>1305</v>
      </c>
      <c r="E62">
        <v>0</v>
      </c>
      <c r="F62">
        <v>0</v>
      </c>
      <c r="G62">
        <v>0</v>
      </c>
      <c r="H62">
        <v>1305</v>
      </c>
      <c r="I62">
        <v>0</v>
      </c>
      <c r="J62">
        <v>0</v>
      </c>
      <c r="K62">
        <f t="shared" si="0"/>
        <v>0</v>
      </c>
      <c r="L62" t="s">
        <v>32</v>
      </c>
    </row>
    <row r="63" spans="1:12">
      <c r="A63">
        <v>1994</v>
      </c>
      <c r="B63">
        <v>1</v>
      </c>
      <c r="C63">
        <v>91</v>
      </c>
      <c r="D63">
        <v>91</v>
      </c>
      <c r="E63">
        <v>0</v>
      </c>
      <c r="F63">
        <v>0</v>
      </c>
      <c r="G63">
        <v>0</v>
      </c>
      <c r="H63">
        <v>0</v>
      </c>
      <c r="I63">
        <v>0</v>
      </c>
      <c r="J63">
        <v>91</v>
      </c>
      <c r="K63">
        <f t="shared" si="0"/>
        <v>100</v>
      </c>
      <c r="L63" t="s">
        <v>32</v>
      </c>
    </row>
    <row r="64" spans="1:12">
      <c r="A64">
        <v>1995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e">
        <f t="shared" si="0"/>
        <v>#DIV/0!</v>
      </c>
      <c r="L64" t="s">
        <v>32</v>
      </c>
    </row>
    <row r="65" spans="1:12">
      <c r="A65">
        <v>1996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e">
        <f t="shared" si="0"/>
        <v>#DIV/0!</v>
      </c>
      <c r="L65" t="s">
        <v>32</v>
      </c>
    </row>
    <row r="66" spans="1:12">
      <c r="A66">
        <v>1997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e">
        <f t="shared" si="0"/>
        <v>#DIV/0!</v>
      </c>
      <c r="L66" t="s">
        <v>32</v>
      </c>
    </row>
    <row r="67" spans="1:12">
      <c r="A67">
        <v>1998</v>
      </c>
      <c r="B67">
        <v>2</v>
      </c>
      <c r="C67">
        <v>315</v>
      </c>
      <c r="D67">
        <v>315</v>
      </c>
      <c r="E67">
        <v>0</v>
      </c>
      <c r="F67">
        <v>0</v>
      </c>
      <c r="G67">
        <v>0</v>
      </c>
      <c r="H67">
        <v>179</v>
      </c>
      <c r="I67">
        <v>0</v>
      </c>
      <c r="J67">
        <v>136</v>
      </c>
      <c r="K67" s="10">
        <f t="shared" ref="K67:K130" si="1">100*(J67/SUM(G67:J67))</f>
        <v>43.174603174603178</v>
      </c>
      <c r="L67" t="s">
        <v>32</v>
      </c>
    </row>
    <row r="68" spans="1:12">
      <c r="A68">
        <v>1999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e">
        <f t="shared" si="1"/>
        <v>#DIV/0!</v>
      </c>
      <c r="L68" t="s">
        <v>32</v>
      </c>
    </row>
    <row r="69" spans="1:12">
      <c r="A69">
        <v>2000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e">
        <f t="shared" si="1"/>
        <v>#DIV/0!</v>
      </c>
      <c r="L69" t="s">
        <v>32</v>
      </c>
    </row>
    <row r="70" spans="1:12">
      <c r="A70">
        <v>2001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e">
        <f t="shared" si="1"/>
        <v>#DIV/0!</v>
      </c>
      <c r="L70" t="s">
        <v>32</v>
      </c>
    </row>
    <row r="71" spans="1:12">
      <c r="A71">
        <v>2002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e">
        <f t="shared" si="1"/>
        <v>#DIV/0!</v>
      </c>
      <c r="L71" t="s">
        <v>32</v>
      </c>
    </row>
    <row r="72" spans="1:12">
      <c r="A72">
        <v>2003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e">
        <f t="shared" si="1"/>
        <v>#DIV/0!</v>
      </c>
      <c r="L72" t="s">
        <v>32</v>
      </c>
    </row>
    <row r="73" spans="1:12">
      <c r="A73">
        <v>2004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e">
        <f t="shared" si="1"/>
        <v>#DIV/0!</v>
      </c>
      <c r="L73" t="s">
        <v>32</v>
      </c>
    </row>
    <row r="74" spans="1:12">
      <c r="A74">
        <v>2005</v>
      </c>
      <c r="B74">
        <v>1</v>
      </c>
      <c r="C74">
        <v>364</v>
      </c>
      <c r="D74">
        <v>364</v>
      </c>
      <c r="E74">
        <v>0</v>
      </c>
      <c r="F74">
        <v>0</v>
      </c>
      <c r="G74">
        <v>0</v>
      </c>
      <c r="H74">
        <v>0</v>
      </c>
      <c r="I74">
        <v>0</v>
      </c>
      <c r="J74">
        <v>364</v>
      </c>
      <c r="K74" s="10">
        <f t="shared" si="1"/>
        <v>100</v>
      </c>
      <c r="L74" t="s">
        <v>32</v>
      </c>
    </row>
    <row r="75" spans="1:12">
      <c r="A75">
        <v>2006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e">
        <f t="shared" si="1"/>
        <v>#DIV/0!</v>
      </c>
      <c r="L75" t="s">
        <v>32</v>
      </c>
    </row>
    <row r="76" spans="1:12">
      <c r="A76">
        <v>2007</v>
      </c>
      <c r="B76">
        <v>2</v>
      </c>
      <c r="C76">
        <v>364</v>
      </c>
      <c r="D76">
        <v>364</v>
      </c>
      <c r="E76">
        <v>0</v>
      </c>
      <c r="F76">
        <v>0</v>
      </c>
      <c r="G76">
        <v>0</v>
      </c>
      <c r="H76">
        <v>0</v>
      </c>
      <c r="I76">
        <v>0</v>
      </c>
      <c r="J76">
        <v>364</v>
      </c>
      <c r="K76">
        <f t="shared" si="1"/>
        <v>100</v>
      </c>
      <c r="L76" t="s">
        <v>32</v>
      </c>
    </row>
    <row r="77" spans="1:12">
      <c r="A77">
        <v>2008</v>
      </c>
      <c r="B77">
        <v>2</v>
      </c>
      <c r="C77">
        <v>273</v>
      </c>
      <c r="D77">
        <v>273</v>
      </c>
      <c r="E77">
        <v>0</v>
      </c>
      <c r="F77">
        <v>0</v>
      </c>
      <c r="G77">
        <v>0</v>
      </c>
      <c r="H77">
        <v>0</v>
      </c>
      <c r="I77">
        <v>0</v>
      </c>
      <c r="J77">
        <v>273</v>
      </c>
      <c r="K77">
        <f t="shared" si="1"/>
        <v>100</v>
      </c>
      <c r="L77" t="s">
        <v>32</v>
      </c>
    </row>
    <row r="78" spans="1:12">
      <c r="A78">
        <v>2009</v>
      </c>
      <c r="B78">
        <v>2</v>
      </c>
      <c r="C78">
        <v>182</v>
      </c>
      <c r="D78">
        <v>182</v>
      </c>
      <c r="E78">
        <v>0</v>
      </c>
      <c r="F78">
        <v>0</v>
      </c>
      <c r="G78">
        <v>0</v>
      </c>
      <c r="H78">
        <v>0</v>
      </c>
      <c r="I78">
        <v>0</v>
      </c>
      <c r="J78">
        <v>182</v>
      </c>
      <c r="K78">
        <f t="shared" si="1"/>
        <v>100</v>
      </c>
      <c r="L78" t="s">
        <v>32</v>
      </c>
    </row>
    <row r="79" spans="1:12">
      <c r="A79">
        <v>2010</v>
      </c>
      <c r="B79">
        <v>1</v>
      </c>
      <c r="C79">
        <v>364</v>
      </c>
      <c r="D79">
        <v>364</v>
      </c>
      <c r="E79">
        <v>0</v>
      </c>
      <c r="F79">
        <v>0</v>
      </c>
      <c r="G79">
        <v>0</v>
      </c>
      <c r="H79">
        <v>0</v>
      </c>
      <c r="I79">
        <v>0</v>
      </c>
      <c r="J79">
        <v>364</v>
      </c>
      <c r="K79">
        <f t="shared" si="1"/>
        <v>100</v>
      </c>
      <c r="L79" t="s">
        <v>32</v>
      </c>
    </row>
    <row r="80" spans="1:12">
      <c r="A80">
        <v>2011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e">
        <f t="shared" si="1"/>
        <v>#DIV/0!</v>
      </c>
      <c r="L80" t="s">
        <v>32</v>
      </c>
    </row>
    <row r="81" spans="1:12">
      <c r="A81">
        <v>2012</v>
      </c>
      <c r="B81">
        <v>1</v>
      </c>
      <c r="C81">
        <v>182</v>
      </c>
      <c r="D81">
        <v>182</v>
      </c>
      <c r="E81">
        <v>0</v>
      </c>
      <c r="F81">
        <v>0</v>
      </c>
      <c r="G81">
        <v>0</v>
      </c>
      <c r="H81">
        <v>0</v>
      </c>
      <c r="I81">
        <v>0</v>
      </c>
      <c r="J81">
        <v>182</v>
      </c>
      <c r="K81">
        <f t="shared" si="1"/>
        <v>100</v>
      </c>
      <c r="L81" t="s">
        <v>32</v>
      </c>
    </row>
    <row r="82" spans="1:12">
      <c r="A82">
        <v>2013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e">
        <f t="shared" si="1"/>
        <v>#DIV/0!</v>
      </c>
      <c r="L82" t="s">
        <v>32</v>
      </c>
    </row>
    <row r="83" spans="1:12">
      <c r="A83">
        <v>1933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e">
        <f t="shared" si="1"/>
        <v>#DIV/0!</v>
      </c>
      <c r="L83" t="s">
        <v>59</v>
      </c>
    </row>
    <row r="84" spans="1:12">
      <c r="A84">
        <v>1934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e">
        <f t="shared" si="1"/>
        <v>#DIV/0!</v>
      </c>
      <c r="L84" t="s">
        <v>59</v>
      </c>
    </row>
    <row r="85" spans="1:12">
      <c r="A85">
        <v>1935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e">
        <f t="shared" si="1"/>
        <v>#DIV/0!</v>
      </c>
      <c r="L85" t="s">
        <v>59</v>
      </c>
    </row>
    <row r="86" spans="1:12">
      <c r="A86">
        <v>1936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e">
        <f t="shared" si="1"/>
        <v>#DIV/0!</v>
      </c>
      <c r="L86" t="s">
        <v>59</v>
      </c>
    </row>
    <row r="87" spans="1:12">
      <c r="A87">
        <v>1937</v>
      </c>
      <c r="B87">
        <v>1</v>
      </c>
      <c r="C87">
        <v>91</v>
      </c>
      <c r="D87">
        <v>0</v>
      </c>
      <c r="E87">
        <v>91</v>
      </c>
      <c r="F87">
        <v>0</v>
      </c>
      <c r="G87">
        <v>0</v>
      </c>
      <c r="H87">
        <v>91</v>
      </c>
      <c r="I87">
        <v>0</v>
      </c>
      <c r="J87">
        <v>0</v>
      </c>
      <c r="K87">
        <f t="shared" si="1"/>
        <v>0</v>
      </c>
      <c r="L87" t="s">
        <v>59</v>
      </c>
    </row>
    <row r="88" spans="1:12">
      <c r="A88">
        <v>1938</v>
      </c>
      <c r="B88">
        <v>1</v>
      </c>
      <c r="C88">
        <v>363</v>
      </c>
      <c r="D88">
        <v>0</v>
      </c>
      <c r="E88">
        <v>363</v>
      </c>
      <c r="F88">
        <v>0</v>
      </c>
      <c r="G88">
        <v>0</v>
      </c>
      <c r="H88">
        <v>363</v>
      </c>
      <c r="I88">
        <v>0</v>
      </c>
      <c r="J88">
        <v>0</v>
      </c>
      <c r="K88">
        <f t="shared" si="1"/>
        <v>0</v>
      </c>
      <c r="L88" t="s">
        <v>59</v>
      </c>
    </row>
    <row r="89" spans="1:12">
      <c r="A89">
        <v>1939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e">
        <f t="shared" si="1"/>
        <v>#DIV/0!</v>
      </c>
      <c r="L89" t="s">
        <v>59</v>
      </c>
    </row>
    <row r="90" spans="1:12">
      <c r="A90">
        <v>1940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e">
        <f t="shared" si="1"/>
        <v>#DIV/0!</v>
      </c>
      <c r="L90" t="s">
        <v>59</v>
      </c>
    </row>
    <row r="91" spans="1:12">
      <c r="A91">
        <v>1941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e">
        <f t="shared" si="1"/>
        <v>#DIV/0!</v>
      </c>
      <c r="L91" t="s">
        <v>59</v>
      </c>
    </row>
    <row r="92" spans="1:12">
      <c r="A92">
        <v>1942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e">
        <f t="shared" si="1"/>
        <v>#DIV/0!</v>
      </c>
      <c r="L92" t="s">
        <v>59</v>
      </c>
    </row>
    <row r="93" spans="1:12">
      <c r="A93">
        <v>1943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e">
        <f t="shared" si="1"/>
        <v>#DIV/0!</v>
      </c>
      <c r="L93" t="s">
        <v>59</v>
      </c>
    </row>
    <row r="94" spans="1:12">
      <c r="A94">
        <v>1944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e">
        <f t="shared" si="1"/>
        <v>#DIV/0!</v>
      </c>
      <c r="L94" t="s">
        <v>59</v>
      </c>
    </row>
    <row r="95" spans="1:12">
      <c r="A95">
        <v>1945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e">
        <f t="shared" si="1"/>
        <v>#DIV/0!</v>
      </c>
      <c r="L95" t="s">
        <v>59</v>
      </c>
    </row>
    <row r="96" spans="1:12">
      <c r="A96">
        <v>1946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e">
        <f t="shared" si="1"/>
        <v>#DIV/0!</v>
      </c>
      <c r="L96" t="s">
        <v>59</v>
      </c>
    </row>
    <row r="97" spans="1:12">
      <c r="A97">
        <v>1947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e">
        <f t="shared" si="1"/>
        <v>#DIV/0!</v>
      </c>
      <c r="L97" t="s">
        <v>59</v>
      </c>
    </row>
    <row r="98" spans="1:12">
      <c r="A98">
        <v>1948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e">
        <f t="shared" si="1"/>
        <v>#DIV/0!</v>
      </c>
      <c r="L98" t="s">
        <v>59</v>
      </c>
    </row>
    <row r="99" spans="1:12">
      <c r="A99">
        <v>1949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e">
        <f t="shared" si="1"/>
        <v>#DIV/0!</v>
      </c>
      <c r="L99" t="s">
        <v>59</v>
      </c>
    </row>
    <row r="100" spans="1:12">
      <c r="A100">
        <v>1950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e">
        <f t="shared" si="1"/>
        <v>#DIV/0!</v>
      </c>
      <c r="L100" t="s">
        <v>59</v>
      </c>
    </row>
    <row r="101" spans="1:12">
      <c r="A101">
        <v>1951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e">
        <f t="shared" si="1"/>
        <v>#DIV/0!</v>
      </c>
      <c r="L101" t="s">
        <v>59</v>
      </c>
    </row>
    <row r="102" spans="1:12">
      <c r="A102">
        <v>1952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e">
        <f t="shared" si="1"/>
        <v>#DIV/0!</v>
      </c>
      <c r="L102" t="s">
        <v>59</v>
      </c>
    </row>
    <row r="103" spans="1:12">
      <c r="A103">
        <v>1953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e">
        <f t="shared" si="1"/>
        <v>#DIV/0!</v>
      </c>
      <c r="L103" t="s">
        <v>59</v>
      </c>
    </row>
    <row r="104" spans="1:12">
      <c r="A104">
        <v>1954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e">
        <f t="shared" si="1"/>
        <v>#DIV/0!</v>
      </c>
      <c r="L104" t="s">
        <v>59</v>
      </c>
    </row>
    <row r="105" spans="1:12">
      <c r="A105">
        <v>1955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e">
        <f t="shared" si="1"/>
        <v>#DIV/0!</v>
      </c>
      <c r="L105" t="s">
        <v>59</v>
      </c>
    </row>
    <row r="106" spans="1:12">
      <c r="A106">
        <v>1956</v>
      </c>
      <c r="B106">
        <v>6</v>
      </c>
      <c r="C106">
        <v>312</v>
      </c>
      <c r="D106">
        <v>0</v>
      </c>
      <c r="E106">
        <v>312</v>
      </c>
      <c r="F106">
        <v>0</v>
      </c>
      <c r="G106">
        <v>0</v>
      </c>
      <c r="H106">
        <v>312</v>
      </c>
      <c r="I106">
        <v>0</v>
      </c>
      <c r="J106">
        <v>0</v>
      </c>
      <c r="K106">
        <f t="shared" si="1"/>
        <v>0</v>
      </c>
      <c r="L106" t="s">
        <v>59</v>
      </c>
    </row>
    <row r="107" spans="1:12">
      <c r="A107">
        <v>1957</v>
      </c>
      <c r="B107">
        <v>3</v>
      </c>
      <c r="C107">
        <v>230</v>
      </c>
      <c r="D107">
        <v>0</v>
      </c>
      <c r="E107">
        <v>230</v>
      </c>
      <c r="F107">
        <v>0</v>
      </c>
      <c r="G107">
        <v>0</v>
      </c>
      <c r="H107">
        <v>230</v>
      </c>
      <c r="I107">
        <v>0</v>
      </c>
      <c r="J107">
        <v>0</v>
      </c>
      <c r="K107">
        <f t="shared" si="1"/>
        <v>0</v>
      </c>
      <c r="L107" t="s">
        <v>59</v>
      </c>
    </row>
    <row r="108" spans="1:12">
      <c r="A108">
        <v>1958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e">
        <f t="shared" si="1"/>
        <v>#DIV/0!</v>
      </c>
      <c r="L108" t="s">
        <v>59</v>
      </c>
    </row>
    <row r="109" spans="1:12">
      <c r="A109">
        <v>1959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e">
        <f t="shared" si="1"/>
        <v>#DIV/0!</v>
      </c>
      <c r="L109" t="s">
        <v>59</v>
      </c>
    </row>
    <row r="110" spans="1:12">
      <c r="A110">
        <v>1960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e">
        <f t="shared" si="1"/>
        <v>#DIV/0!</v>
      </c>
      <c r="L110" t="s">
        <v>59</v>
      </c>
    </row>
    <row r="111" spans="1:12">
      <c r="A111">
        <v>1961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e">
        <f t="shared" si="1"/>
        <v>#DIV/0!</v>
      </c>
      <c r="L111" t="s">
        <v>59</v>
      </c>
    </row>
    <row r="112" spans="1:12">
      <c r="A112">
        <v>1962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e">
        <f t="shared" si="1"/>
        <v>#DIV/0!</v>
      </c>
      <c r="L112" t="s">
        <v>59</v>
      </c>
    </row>
    <row r="113" spans="1:12">
      <c r="A113">
        <v>1963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e">
        <f t="shared" si="1"/>
        <v>#DIV/0!</v>
      </c>
      <c r="L113" t="s">
        <v>59</v>
      </c>
    </row>
    <row r="114" spans="1:12">
      <c r="A114">
        <v>1964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e">
        <f t="shared" si="1"/>
        <v>#DIV/0!</v>
      </c>
      <c r="L114" t="s">
        <v>59</v>
      </c>
    </row>
    <row r="115" spans="1:12">
      <c r="A115">
        <v>1965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e">
        <f t="shared" si="1"/>
        <v>#DIV/0!</v>
      </c>
      <c r="L115" t="s">
        <v>59</v>
      </c>
    </row>
    <row r="116" spans="1:12">
      <c r="A116">
        <v>1966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e">
        <f t="shared" si="1"/>
        <v>#DIV/0!</v>
      </c>
      <c r="L116" t="s">
        <v>59</v>
      </c>
    </row>
    <row r="117" spans="1:12">
      <c r="A117">
        <v>1967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e">
        <f t="shared" si="1"/>
        <v>#DIV/0!</v>
      </c>
      <c r="L117" t="s">
        <v>59</v>
      </c>
    </row>
    <row r="118" spans="1:12">
      <c r="A118">
        <v>1968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e">
        <f t="shared" si="1"/>
        <v>#DIV/0!</v>
      </c>
      <c r="L118" t="s">
        <v>59</v>
      </c>
    </row>
    <row r="119" spans="1:12">
      <c r="A119">
        <v>1969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e">
        <f t="shared" si="1"/>
        <v>#DIV/0!</v>
      </c>
      <c r="L119" t="s">
        <v>59</v>
      </c>
    </row>
    <row r="120" spans="1:12">
      <c r="A120">
        <v>1970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e">
        <f t="shared" si="1"/>
        <v>#DIV/0!</v>
      </c>
      <c r="L120" t="s">
        <v>59</v>
      </c>
    </row>
    <row r="121" spans="1:12">
      <c r="A121">
        <v>1971</v>
      </c>
      <c r="B121">
        <v>1</v>
      </c>
      <c r="C121">
        <v>13</v>
      </c>
      <c r="D121">
        <v>0</v>
      </c>
      <c r="E121">
        <v>0</v>
      </c>
      <c r="F121">
        <v>13</v>
      </c>
      <c r="G121">
        <v>0</v>
      </c>
      <c r="H121">
        <v>13</v>
      </c>
      <c r="I121">
        <v>0</v>
      </c>
      <c r="J121">
        <v>0</v>
      </c>
      <c r="K121">
        <f t="shared" si="1"/>
        <v>0</v>
      </c>
      <c r="L121" t="s">
        <v>59</v>
      </c>
    </row>
    <row r="122" spans="1:12">
      <c r="A122">
        <v>1972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e">
        <f t="shared" si="1"/>
        <v>#DIV/0!</v>
      </c>
      <c r="L122" t="s">
        <v>59</v>
      </c>
    </row>
    <row r="123" spans="1:12">
      <c r="A123">
        <v>1973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e">
        <f t="shared" si="1"/>
        <v>#DIV/0!</v>
      </c>
      <c r="L123" t="s">
        <v>59</v>
      </c>
    </row>
    <row r="124" spans="1:12">
      <c r="A124">
        <v>1974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e">
        <f t="shared" si="1"/>
        <v>#DIV/0!</v>
      </c>
      <c r="L124" t="s">
        <v>59</v>
      </c>
    </row>
    <row r="125" spans="1:12">
      <c r="A125">
        <v>1975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e">
        <f t="shared" si="1"/>
        <v>#DIV/0!</v>
      </c>
      <c r="L125" t="s">
        <v>59</v>
      </c>
    </row>
    <row r="126" spans="1:12">
      <c r="A126">
        <v>1976</v>
      </c>
      <c r="B126">
        <v>7</v>
      </c>
      <c r="C126">
        <v>17</v>
      </c>
      <c r="D126">
        <v>17</v>
      </c>
      <c r="E126">
        <v>0</v>
      </c>
      <c r="F126">
        <v>0</v>
      </c>
      <c r="G126">
        <v>17</v>
      </c>
      <c r="H126">
        <v>0</v>
      </c>
      <c r="I126">
        <v>0</v>
      </c>
      <c r="J126">
        <v>0</v>
      </c>
      <c r="K126">
        <f t="shared" si="1"/>
        <v>0</v>
      </c>
      <c r="L126" t="s">
        <v>59</v>
      </c>
    </row>
    <row r="127" spans="1:12">
      <c r="A127">
        <v>1977</v>
      </c>
      <c r="B127">
        <v>4</v>
      </c>
      <c r="C127">
        <v>25</v>
      </c>
      <c r="D127">
        <v>6</v>
      </c>
      <c r="E127">
        <v>19</v>
      </c>
      <c r="F127">
        <v>0</v>
      </c>
      <c r="G127">
        <v>0</v>
      </c>
      <c r="H127">
        <v>25</v>
      </c>
      <c r="I127">
        <v>0</v>
      </c>
      <c r="J127">
        <v>0</v>
      </c>
      <c r="K127">
        <f t="shared" si="1"/>
        <v>0</v>
      </c>
      <c r="L127" t="s">
        <v>59</v>
      </c>
    </row>
    <row r="128" spans="1:12">
      <c r="A128">
        <v>1978</v>
      </c>
      <c r="B128">
        <v>74</v>
      </c>
      <c r="C128">
        <v>210</v>
      </c>
      <c r="D128">
        <v>153</v>
      </c>
      <c r="E128">
        <v>0</v>
      </c>
      <c r="F128">
        <v>57</v>
      </c>
      <c r="G128">
        <v>153</v>
      </c>
      <c r="H128">
        <v>57</v>
      </c>
      <c r="I128">
        <v>0</v>
      </c>
      <c r="J128">
        <v>0</v>
      </c>
      <c r="K128">
        <f t="shared" si="1"/>
        <v>0</v>
      </c>
      <c r="L128" t="s">
        <v>59</v>
      </c>
    </row>
    <row r="129" spans="1:12">
      <c r="A129">
        <v>1979</v>
      </c>
      <c r="B129">
        <v>50</v>
      </c>
      <c r="C129">
        <v>96</v>
      </c>
      <c r="D129">
        <v>96</v>
      </c>
      <c r="E129">
        <v>0</v>
      </c>
      <c r="F129">
        <v>0</v>
      </c>
      <c r="G129">
        <v>96</v>
      </c>
      <c r="H129">
        <v>0</v>
      </c>
      <c r="I129">
        <v>0</v>
      </c>
      <c r="J129">
        <v>0</v>
      </c>
      <c r="K129">
        <f t="shared" si="1"/>
        <v>0</v>
      </c>
      <c r="L129" t="s">
        <v>59</v>
      </c>
    </row>
    <row r="130" spans="1:12">
      <c r="A130">
        <v>1980</v>
      </c>
      <c r="B130">
        <v>70</v>
      </c>
      <c r="C130">
        <v>521</v>
      </c>
      <c r="D130">
        <v>91</v>
      </c>
      <c r="E130">
        <v>0</v>
      </c>
      <c r="F130">
        <v>430</v>
      </c>
      <c r="G130">
        <v>91</v>
      </c>
      <c r="H130">
        <v>430</v>
      </c>
      <c r="I130">
        <v>0</v>
      </c>
      <c r="J130">
        <v>0</v>
      </c>
      <c r="K130">
        <f t="shared" si="1"/>
        <v>0</v>
      </c>
      <c r="L130" t="s">
        <v>59</v>
      </c>
    </row>
    <row r="131" spans="1:12">
      <c r="A131">
        <v>1981</v>
      </c>
      <c r="B131">
        <v>38</v>
      </c>
      <c r="C131">
        <v>362</v>
      </c>
      <c r="D131">
        <v>0</v>
      </c>
      <c r="E131">
        <v>0</v>
      </c>
      <c r="F131">
        <v>362</v>
      </c>
      <c r="G131">
        <v>0</v>
      </c>
      <c r="H131">
        <v>362</v>
      </c>
      <c r="I131">
        <v>0</v>
      </c>
      <c r="J131">
        <v>0</v>
      </c>
      <c r="K131">
        <f t="shared" ref="K131:K194" si="2">100*(J131/SUM(G131:J131))</f>
        <v>0</v>
      </c>
      <c r="L131" t="s">
        <v>59</v>
      </c>
    </row>
    <row r="132" spans="1:12">
      <c r="A132">
        <v>1982</v>
      </c>
      <c r="B132">
        <v>6</v>
      </c>
      <c r="C132">
        <v>160</v>
      </c>
      <c r="D132">
        <v>91</v>
      </c>
      <c r="E132">
        <v>0</v>
      </c>
      <c r="F132">
        <v>69</v>
      </c>
      <c r="G132">
        <v>0</v>
      </c>
      <c r="H132">
        <v>69</v>
      </c>
      <c r="I132">
        <v>0</v>
      </c>
      <c r="J132">
        <v>91</v>
      </c>
      <c r="K132" s="10">
        <f t="shared" si="2"/>
        <v>56.875</v>
      </c>
      <c r="L132" t="s">
        <v>59</v>
      </c>
    </row>
    <row r="133" spans="1:12">
      <c r="A133">
        <v>1983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e">
        <f t="shared" si="2"/>
        <v>#DIV/0!</v>
      </c>
      <c r="L133" t="s">
        <v>59</v>
      </c>
    </row>
    <row r="134" spans="1:12">
      <c r="A134">
        <v>1984</v>
      </c>
      <c r="B134">
        <v>16</v>
      </c>
      <c r="C134">
        <v>36</v>
      </c>
      <c r="D134">
        <v>15</v>
      </c>
      <c r="E134">
        <v>21</v>
      </c>
      <c r="F134">
        <v>0</v>
      </c>
      <c r="G134">
        <v>0</v>
      </c>
      <c r="H134">
        <v>36</v>
      </c>
      <c r="I134">
        <v>0</v>
      </c>
      <c r="J134">
        <v>0</v>
      </c>
      <c r="K134">
        <f t="shared" si="2"/>
        <v>0</v>
      </c>
      <c r="L134" t="s">
        <v>59</v>
      </c>
    </row>
    <row r="135" spans="1:12">
      <c r="A135">
        <v>1985</v>
      </c>
      <c r="B135">
        <v>35</v>
      </c>
      <c r="C135">
        <v>93</v>
      </c>
      <c r="D135">
        <v>10</v>
      </c>
      <c r="E135">
        <v>0</v>
      </c>
      <c r="F135">
        <v>83</v>
      </c>
      <c r="G135">
        <v>0</v>
      </c>
      <c r="H135">
        <v>93</v>
      </c>
      <c r="I135">
        <v>0</v>
      </c>
      <c r="J135">
        <v>0</v>
      </c>
      <c r="K135">
        <f t="shared" si="2"/>
        <v>0</v>
      </c>
      <c r="L135" t="s">
        <v>59</v>
      </c>
    </row>
    <row r="136" spans="1:12">
      <c r="A136">
        <v>1986</v>
      </c>
      <c r="B136">
        <v>8</v>
      </c>
      <c r="C136">
        <v>128</v>
      </c>
      <c r="D136">
        <v>63</v>
      </c>
      <c r="E136">
        <v>64</v>
      </c>
      <c r="F136">
        <v>0</v>
      </c>
      <c r="G136">
        <v>0</v>
      </c>
      <c r="H136">
        <v>128</v>
      </c>
      <c r="I136">
        <v>0</v>
      </c>
      <c r="J136">
        <v>0</v>
      </c>
      <c r="K136">
        <f t="shared" si="2"/>
        <v>0</v>
      </c>
      <c r="L136" t="s">
        <v>59</v>
      </c>
    </row>
    <row r="137" spans="1:12">
      <c r="A137">
        <v>1987</v>
      </c>
      <c r="B137">
        <v>10</v>
      </c>
      <c r="C137">
        <v>25</v>
      </c>
      <c r="D137">
        <v>0</v>
      </c>
      <c r="E137">
        <v>25</v>
      </c>
      <c r="F137">
        <v>0</v>
      </c>
      <c r="G137">
        <v>0</v>
      </c>
      <c r="H137">
        <v>25</v>
      </c>
      <c r="I137">
        <v>0</v>
      </c>
      <c r="J137">
        <v>0</v>
      </c>
      <c r="K137">
        <f t="shared" si="2"/>
        <v>0</v>
      </c>
      <c r="L137" t="s">
        <v>59</v>
      </c>
    </row>
    <row r="138" spans="1:12">
      <c r="A138">
        <v>1988</v>
      </c>
      <c r="B138">
        <v>12</v>
      </c>
      <c r="C138">
        <v>6</v>
      </c>
      <c r="D138">
        <v>0</v>
      </c>
      <c r="E138">
        <v>6</v>
      </c>
      <c r="F138">
        <v>0</v>
      </c>
      <c r="G138">
        <v>0</v>
      </c>
      <c r="H138">
        <v>6</v>
      </c>
      <c r="I138">
        <v>0</v>
      </c>
      <c r="J138">
        <v>0</v>
      </c>
      <c r="K138">
        <f t="shared" si="2"/>
        <v>0</v>
      </c>
      <c r="L138" t="s">
        <v>59</v>
      </c>
    </row>
    <row r="139" spans="1:12">
      <c r="A139">
        <v>1989</v>
      </c>
      <c r="B139">
        <v>2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6</v>
      </c>
      <c r="I139">
        <v>0</v>
      </c>
      <c r="J139">
        <v>0</v>
      </c>
      <c r="K139">
        <f t="shared" si="2"/>
        <v>0</v>
      </c>
      <c r="L139" t="s">
        <v>59</v>
      </c>
    </row>
    <row r="140" spans="1:12">
      <c r="A140">
        <v>1990</v>
      </c>
      <c r="B140">
        <v>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e">
        <f t="shared" si="2"/>
        <v>#DIV/0!</v>
      </c>
      <c r="L140" t="s">
        <v>59</v>
      </c>
    </row>
    <row r="141" spans="1:12">
      <c r="A141">
        <v>1991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e">
        <f t="shared" si="2"/>
        <v>#DIV/0!</v>
      </c>
      <c r="L141" t="s">
        <v>59</v>
      </c>
    </row>
    <row r="142" spans="1:12">
      <c r="A142">
        <v>1992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e">
        <f t="shared" si="2"/>
        <v>#DIV/0!</v>
      </c>
      <c r="L142" t="s">
        <v>59</v>
      </c>
    </row>
    <row r="143" spans="1:12">
      <c r="A143">
        <v>1993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e">
        <f t="shared" si="2"/>
        <v>#DIV/0!</v>
      </c>
      <c r="L143" t="s">
        <v>59</v>
      </c>
    </row>
    <row r="144" spans="1:12">
      <c r="A144">
        <v>1994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e">
        <f t="shared" si="2"/>
        <v>#DIV/0!</v>
      </c>
      <c r="L144" t="s">
        <v>59</v>
      </c>
    </row>
    <row r="145" spans="1:12">
      <c r="A145">
        <v>1995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e">
        <f t="shared" si="2"/>
        <v>#DIV/0!</v>
      </c>
      <c r="L145" t="s">
        <v>59</v>
      </c>
    </row>
    <row r="146" spans="1:12">
      <c r="A146">
        <v>1996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e">
        <f t="shared" si="2"/>
        <v>#DIV/0!</v>
      </c>
      <c r="L146" t="s">
        <v>59</v>
      </c>
    </row>
    <row r="147" spans="1:12">
      <c r="A147">
        <v>1997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e">
        <f t="shared" si="2"/>
        <v>#DIV/0!</v>
      </c>
      <c r="L147" t="s">
        <v>59</v>
      </c>
    </row>
    <row r="148" spans="1:12">
      <c r="A148">
        <v>1998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e">
        <f t="shared" si="2"/>
        <v>#DIV/0!</v>
      </c>
      <c r="L148" t="s">
        <v>59</v>
      </c>
    </row>
    <row r="149" spans="1:12">
      <c r="A149">
        <v>1999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e">
        <f t="shared" si="2"/>
        <v>#DIV/0!</v>
      </c>
      <c r="L149" t="s">
        <v>59</v>
      </c>
    </row>
    <row r="150" spans="1:12">
      <c r="A150">
        <v>2000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e">
        <f t="shared" si="2"/>
        <v>#DIV/0!</v>
      </c>
      <c r="L150" t="s">
        <v>59</v>
      </c>
    </row>
    <row r="151" spans="1:12">
      <c r="A151">
        <v>2001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e">
        <f t="shared" si="2"/>
        <v>#DIV/0!</v>
      </c>
      <c r="L151" t="s">
        <v>59</v>
      </c>
    </row>
    <row r="152" spans="1:12">
      <c r="A152">
        <v>2002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e">
        <f t="shared" si="2"/>
        <v>#DIV/0!</v>
      </c>
      <c r="L152" t="s">
        <v>59</v>
      </c>
    </row>
    <row r="153" spans="1:12">
      <c r="A153">
        <v>2003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e">
        <f t="shared" si="2"/>
        <v>#DIV/0!</v>
      </c>
      <c r="L153" t="s">
        <v>59</v>
      </c>
    </row>
    <row r="154" spans="1:12">
      <c r="A154">
        <v>2004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e">
        <f t="shared" si="2"/>
        <v>#DIV/0!</v>
      </c>
      <c r="L154" t="s">
        <v>59</v>
      </c>
    </row>
    <row r="155" spans="1:12">
      <c r="A155">
        <v>2005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e">
        <f t="shared" si="2"/>
        <v>#DIV/0!</v>
      </c>
      <c r="L155" t="s">
        <v>59</v>
      </c>
    </row>
    <row r="156" spans="1:12">
      <c r="A156">
        <v>2006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e">
        <f t="shared" si="2"/>
        <v>#DIV/0!</v>
      </c>
      <c r="L156" t="s">
        <v>59</v>
      </c>
    </row>
    <row r="157" spans="1:12">
      <c r="A157">
        <v>2007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e">
        <f t="shared" si="2"/>
        <v>#DIV/0!</v>
      </c>
      <c r="L157" t="s">
        <v>59</v>
      </c>
    </row>
    <row r="158" spans="1:12">
      <c r="A158">
        <v>2008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e">
        <f t="shared" si="2"/>
        <v>#DIV/0!</v>
      </c>
      <c r="L158" t="s">
        <v>59</v>
      </c>
    </row>
    <row r="159" spans="1:12">
      <c r="A159">
        <v>2009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e">
        <f t="shared" si="2"/>
        <v>#DIV/0!</v>
      </c>
      <c r="L159" t="s">
        <v>59</v>
      </c>
    </row>
    <row r="160" spans="1:12">
      <c r="A160">
        <v>2010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e">
        <f t="shared" si="2"/>
        <v>#DIV/0!</v>
      </c>
      <c r="L160" t="s">
        <v>59</v>
      </c>
    </row>
    <row r="161" spans="1:12">
      <c r="A161">
        <v>2011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e">
        <f t="shared" si="2"/>
        <v>#DIV/0!</v>
      </c>
      <c r="L161" t="s">
        <v>59</v>
      </c>
    </row>
    <row r="162" spans="1:12">
      <c r="A162">
        <v>2012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e">
        <f t="shared" si="2"/>
        <v>#DIV/0!</v>
      </c>
      <c r="L162" t="s">
        <v>59</v>
      </c>
    </row>
    <row r="163" spans="1:12">
      <c r="A163">
        <v>2013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e">
        <f t="shared" si="2"/>
        <v>#DIV/0!</v>
      </c>
      <c r="L163" t="s">
        <v>59</v>
      </c>
    </row>
    <row r="164" spans="1:12">
      <c r="A164">
        <v>1933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e">
        <f t="shared" si="2"/>
        <v>#DIV/0!</v>
      </c>
      <c r="L164" t="s">
        <v>60</v>
      </c>
    </row>
    <row r="165" spans="1:12">
      <c r="A165">
        <v>1934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e">
        <f t="shared" si="2"/>
        <v>#DIV/0!</v>
      </c>
      <c r="L165" t="s">
        <v>60</v>
      </c>
    </row>
    <row r="166" spans="1:12">
      <c r="A166">
        <v>1935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e">
        <f t="shared" si="2"/>
        <v>#DIV/0!</v>
      </c>
      <c r="L166" t="s">
        <v>60</v>
      </c>
    </row>
    <row r="167" spans="1:12">
      <c r="A167">
        <v>1936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e">
        <f t="shared" si="2"/>
        <v>#DIV/0!</v>
      </c>
      <c r="L167" t="s">
        <v>60</v>
      </c>
    </row>
    <row r="168" spans="1:12">
      <c r="A168">
        <v>1937</v>
      </c>
      <c r="B168">
        <v>1</v>
      </c>
      <c r="C168">
        <v>91</v>
      </c>
      <c r="D168">
        <v>0</v>
      </c>
      <c r="E168">
        <v>91</v>
      </c>
      <c r="F168">
        <v>0</v>
      </c>
      <c r="G168">
        <v>0</v>
      </c>
      <c r="H168">
        <v>91</v>
      </c>
      <c r="I168">
        <v>0</v>
      </c>
      <c r="J168">
        <v>0</v>
      </c>
      <c r="K168">
        <f t="shared" si="2"/>
        <v>0</v>
      </c>
      <c r="L168" t="s">
        <v>60</v>
      </c>
    </row>
    <row r="169" spans="1:12">
      <c r="A169">
        <v>1938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e">
        <f t="shared" si="2"/>
        <v>#DIV/0!</v>
      </c>
      <c r="L169" t="s">
        <v>60</v>
      </c>
    </row>
    <row r="170" spans="1:12">
      <c r="A170">
        <v>1939</v>
      </c>
      <c r="B170">
        <v>1</v>
      </c>
      <c r="C170">
        <v>2087</v>
      </c>
      <c r="D170">
        <v>2087</v>
      </c>
      <c r="E170">
        <v>0</v>
      </c>
      <c r="F170">
        <v>0</v>
      </c>
      <c r="G170">
        <v>0</v>
      </c>
      <c r="H170">
        <v>2087</v>
      </c>
      <c r="I170">
        <v>0</v>
      </c>
      <c r="J170">
        <v>0</v>
      </c>
      <c r="K170">
        <f t="shared" si="2"/>
        <v>0</v>
      </c>
      <c r="L170" t="s">
        <v>60</v>
      </c>
    </row>
    <row r="171" spans="1:12">
      <c r="A171">
        <v>1940</v>
      </c>
      <c r="B171">
        <v>2</v>
      </c>
      <c r="C171">
        <v>12792</v>
      </c>
      <c r="D171">
        <v>12792</v>
      </c>
      <c r="E171">
        <v>0</v>
      </c>
      <c r="F171">
        <v>0</v>
      </c>
      <c r="G171">
        <v>0</v>
      </c>
      <c r="H171">
        <v>12792</v>
      </c>
      <c r="I171">
        <v>0</v>
      </c>
      <c r="J171">
        <v>0</v>
      </c>
      <c r="K171">
        <f t="shared" si="2"/>
        <v>0</v>
      </c>
      <c r="L171" t="s">
        <v>60</v>
      </c>
    </row>
    <row r="172" spans="1:12">
      <c r="A172">
        <v>1941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e">
        <f t="shared" si="2"/>
        <v>#DIV/0!</v>
      </c>
      <c r="L172" t="s">
        <v>60</v>
      </c>
    </row>
    <row r="173" spans="1:12">
      <c r="A173">
        <v>1942</v>
      </c>
      <c r="B173">
        <v>1</v>
      </c>
      <c r="C173">
        <v>2268</v>
      </c>
      <c r="D173">
        <v>2268</v>
      </c>
      <c r="E173">
        <v>0</v>
      </c>
      <c r="F173">
        <v>0</v>
      </c>
      <c r="G173">
        <v>0</v>
      </c>
      <c r="H173">
        <v>2268</v>
      </c>
      <c r="I173">
        <v>0</v>
      </c>
      <c r="J173">
        <v>0</v>
      </c>
      <c r="K173">
        <f t="shared" si="2"/>
        <v>0</v>
      </c>
      <c r="L173" t="s">
        <v>60</v>
      </c>
    </row>
    <row r="174" spans="1:12">
      <c r="A174">
        <v>1943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e">
        <f t="shared" si="2"/>
        <v>#DIV/0!</v>
      </c>
      <c r="L174" t="s">
        <v>60</v>
      </c>
    </row>
    <row r="175" spans="1:12">
      <c r="A175">
        <v>1944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e">
        <f t="shared" si="2"/>
        <v>#DIV/0!</v>
      </c>
      <c r="L175" t="s">
        <v>60</v>
      </c>
    </row>
    <row r="176" spans="1:12">
      <c r="A176">
        <v>1945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e">
        <f t="shared" si="2"/>
        <v>#DIV/0!</v>
      </c>
      <c r="L176" t="s">
        <v>60</v>
      </c>
    </row>
    <row r="177" spans="1:12">
      <c r="A177">
        <v>1946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e">
        <f t="shared" si="2"/>
        <v>#DIV/0!</v>
      </c>
      <c r="L177" t="s">
        <v>60</v>
      </c>
    </row>
    <row r="178" spans="1:12">
      <c r="A178">
        <v>1947</v>
      </c>
      <c r="B178">
        <v>1</v>
      </c>
      <c r="C178">
        <v>5262</v>
      </c>
      <c r="D178">
        <v>0</v>
      </c>
      <c r="E178">
        <v>0</v>
      </c>
      <c r="F178">
        <v>5262</v>
      </c>
      <c r="G178">
        <v>0</v>
      </c>
      <c r="H178">
        <v>5262</v>
      </c>
      <c r="I178">
        <v>0</v>
      </c>
      <c r="J178">
        <v>0</v>
      </c>
      <c r="K178">
        <f t="shared" si="2"/>
        <v>0</v>
      </c>
      <c r="L178" t="s">
        <v>60</v>
      </c>
    </row>
    <row r="179" spans="1:12">
      <c r="A179">
        <v>1948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e">
        <f t="shared" si="2"/>
        <v>#DIV/0!</v>
      </c>
      <c r="L179" t="s">
        <v>60</v>
      </c>
    </row>
    <row r="180" spans="1:12">
      <c r="A180">
        <v>1949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e">
        <f t="shared" si="2"/>
        <v>#DIV/0!</v>
      </c>
      <c r="L180" t="s">
        <v>60</v>
      </c>
    </row>
    <row r="181" spans="1:12">
      <c r="A181">
        <v>1950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e">
        <f t="shared" si="2"/>
        <v>#DIV/0!</v>
      </c>
      <c r="L181" t="s">
        <v>60</v>
      </c>
    </row>
    <row r="182" spans="1:12">
      <c r="A182">
        <v>1951</v>
      </c>
      <c r="B182">
        <v>18</v>
      </c>
      <c r="C182">
        <v>2847</v>
      </c>
      <c r="D182">
        <v>2847</v>
      </c>
      <c r="E182">
        <v>0</v>
      </c>
      <c r="F182">
        <v>0</v>
      </c>
      <c r="G182">
        <v>0</v>
      </c>
      <c r="H182">
        <v>2847</v>
      </c>
      <c r="I182">
        <v>0</v>
      </c>
      <c r="J182">
        <v>0</v>
      </c>
      <c r="K182">
        <f t="shared" si="2"/>
        <v>0</v>
      </c>
      <c r="L182" t="s">
        <v>60</v>
      </c>
    </row>
    <row r="183" spans="1:12">
      <c r="A183">
        <v>1952</v>
      </c>
      <c r="B183">
        <v>110</v>
      </c>
      <c r="C183">
        <v>10314</v>
      </c>
      <c r="D183">
        <v>10146</v>
      </c>
      <c r="E183">
        <v>168</v>
      </c>
      <c r="F183">
        <v>0</v>
      </c>
      <c r="G183">
        <v>0</v>
      </c>
      <c r="H183">
        <v>10314</v>
      </c>
      <c r="I183">
        <v>0</v>
      </c>
      <c r="J183">
        <v>0</v>
      </c>
      <c r="K183">
        <f t="shared" si="2"/>
        <v>0</v>
      </c>
      <c r="L183" t="s">
        <v>60</v>
      </c>
    </row>
    <row r="184" spans="1:12">
      <c r="A184">
        <v>1953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e">
        <f t="shared" si="2"/>
        <v>#DIV/0!</v>
      </c>
      <c r="L184" t="s">
        <v>60</v>
      </c>
    </row>
    <row r="185" spans="1:12">
      <c r="A185">
        <v>1954</v>
      </c>
      <c r="B185">
        <v>329</v>
      </c>
      <c r="C185">
        <v>37368</v>
      </c>
      <c r="D185">
        <v>26017</v>
      </c>
      <c r="E185">
        <v>0</v>
      </c>
      <c r="F185">
        <v>11351</v>
      </c>
      <c r="G185">
        <v>0</v>
      </c>
      <c r="H185">
        <v>37368</v>
      </c>
      <c r="I185">
        <v>0</v>
      </c>
      <c r="J185">
        <v>0</v>
      </c>
      <c r="K185">
        <f t="shared" si="2"/>
        <v>0</v>
      </c>
      <c r="L185" t="s">
        <v>60</v>
      </c>
    </row>
    <row r="186" spans="1:12">
      <c r="A186">
        <v>1955</v>
      </c>
      <c r="B186">
        <v>66</v>
      </c>
      <c r="C186">
        <v>8900</v>
      </c>
      <c r="D186">
        <v>8900</v>
      </c>
      <c r="E186">
        <v>0</v>
      </c>
      <c r="F186">
        <v>0</v>
      </c>
      <c r="G186">
        <v>0</v>
      </c>
      <c r="H186">
        <v>8900</v>
      </c>
      <c r="I186">
        <v>0</v>
      </c>
      <c r="J186">
        <v>0</v>
      </c>
      <c r="K186">
        <f t="shared" si="2"/>
        <v>0</v>
      </c>
      <c r="L186" t="s">
        <v>60</v>
      </c>
    </row>
    <row r="187" spans="1:12">
      <c r="A187">
        <v>1956</v>
      </c>
      <c r="B187">
        <v>794</v>
      </c>
      <c r="C187">
        <v>83561</v>
      </c>
      <c r="D187">
        <v>83561</v>
      </c>
      <c r="E187">
        <v>0</v>
      </c>
      <c r="F187">
        <v>0</v>
      </c>
      <c r="G187">
        <v>0</v>
      </c>
      <c r="H187">
        <v>83561</v>
      </c>
      <c r="I187">
        <v>0</v>
      </c>
      <c r="J187">
        <v>0</v>
      </c>
      <c r="K187">
        <f t="shared" si="2"/>
        <v>0</v>
      </c>
      <c r="L187" t="s">
        <v>60</v>
      </c>
    </row>
    <row r="188" spans="1:12">
      <c r="A188">
        <v>1957</v>
      </c>
      <c r="B188">
        <v>218</v>
      </c>
      <c r="C188">
        <v>25143</v>
      </c>
      <c r="D188">
        <v>24403</v>
      </c>
      <c r="E188">
        <v>19</v>
      </c>
      <c r="F188">
        <v>721</v>
      </c>
      <c r="G188">
        <v>0</v>
      </c>
      <c r="H188">
        <v>25143</v>
      </c>
      <c r="I188">
        <v>0</v>
      </c>
      <c r="J188">
        <v>0</v>
      </c>
      <c r="K188">
        <f t="shared" si="2"/>
        <v>0</v>
      </c>
      <c r="L188" t="s">
        <v>60</v>
      </c>
    </row>
    <row r="189" spans="1:12">
      <c r="A189">
        <v>1958</v>
      </c>
      <c r="B189">
        <v>170</v>
      </c>
      <c r="C189">
        <v>15918</v>
      </c>
      <c r="D189">
        <v>10426</v>
      </c>
      <c r="E189">
        <v>0</v>
      </c>
      <c r="F189">
        <v>5492</v>
      </c>
      <c r="G189">
        <v>0</v>
      </c>
      <c r="H189">
        <v>15918</v>
      </c>
      <c r="I189">
        <v>0</v>
      </c>
      <c r="J189">
        <v>0</v>
      </c>
      <c r="K189">
        <f t="shared" si="2"/>
        <v>0</v>
      </c>
      <c r="L189" t="s">
        <v>60</v>
      </c>
    </row>
    <row r="190" spans="1:12">
      <c r="A190">
        <v>1959</v>
      </c>
      <c r="B190">
        <v>130</v>
      </c>
      <c r="C190">
        <v>12836</v>
      </c>
      <c r="D190">
        <v>12078</v>
      </c>
      <c r="E190">
        <v>0</v>
      </c>
      <c r="F190">
        <v>758</v>
      </c>
      <c r="G190">
        <v>0</v>
      </c>
      <c r="H190">
        <v>12836</v>
      </c>
      <c r="I190">
        <v>0</v>
      </c>
      <c r="J190">
        <v>0</v>
      </c>
      <c r="K190">
        <f t="shared" si="2"/>
        <v>0</v>
      </c>
      <c r="L190" t="s">
        <v>60</v>
      </c>
    </row>
    <row r="191" spans="1:12">
      <c r="A191">
        <v>1960</v>
      </c>
      <c r="B191">
        <v>24</v>
      </c>
      <c r="C191">
        <v>2672</v>
      </c>
      <c r="D191">
        <v>2344</v>
      </c>
      <c r="E191">
        <v>0</v>
      </c>
      <c r="F191">
        <v>327</v>
      </c>
      <c r="G191">
        <v>0</v>
      </c>
      <c r="H191">
        <v>2672</v>
      </c>
      <c r="I191">
        <v>0</v>
      </c>
      <c r="J191">
        <v>0</v>
      </c>
      <c r="K191">
        <f t="shared" si="2"/>
        <v>0</v>
      </c>
      <c r="L191" t="s">
        <v>60</v>
      </c>
    </row>
    <row r="192" spans="1:12">
      <c r="A192">
        <v>1961</v>
      </c>
      <c r="B192">
        <v>47</v>
      </c>
      <c r="C192">
        <v>3451</v>
      </c>
      <c r="D192">
        <v>2206</v>
      </c>
      <c r="E192">
        <v>77</v>
      </c>
      <c r="F192">
        <v>1169</v>
      </c>
      <c r="G192">
        <v>0</v>
      </c>
      <c r="H192">
        <v>3451</v>
      </c>
      <c r="I192">
        <v>0</v>
      </c>
      <c r="J192">
        <v>0</v>
      </c>
      <c r="K192">
        <f t="shared" si="2"/>
        <v>0</v>
      </c>
      <c r="L192" t="s">
        <v>60</v>
      </c>
    </row>
    <row r="193" spans="1:12">
      <c r="A193">
        <v>1962</v>
      </c>
      <c r="B193">
        <v>154</v>
      </c>
      <c r="C193">
        <v>13918</v>
      </c>
      <c r="D193">
        <v>13535</v>
      </c>
      <c r="E193">
        <v>0</v>
      </c>
      <c r="F193">
        <v>383</v>
      </c>
      <c r="G193">
        <v>0</v>
      </c>
      <c r="H193">
        <v>13918</v>
      </c>
      <c r="I193">
        <v>0</v>
      </c>
      <c r="J193">
        <v>0</v>
      </c>
      <c r="K193">
        <f t="shared" si="2"/>
        <v>0</v>
      </c>
      <c r="L193" t="s">
        <v>60</v>
      </c>
    </row>
    <row r="194" spans="1:12">
      <c r="A194">
        <v>1963</v>
      </c>
      <c r="B194">
        <v>195</v>
      </c>
      <c r="C194">
        <v>19004</v>
      </c>
      <c r="D194">
        <v>16962</v>
      </c>
      <c r="E194">
        <v>279</v>
      </c>
      <c r="F194">
        <v>1763</v>
      </c>
      <c r="G194">
        <v>0</v>
      </c>
      <c r="H194">
        <v>19004</v>
      </c>
      <c r="I194">
        <v>0</v>
      </c>
      <c r="J194">
        <v>0</v>
      </c>
      <c r="K194">
        <f t="shared" si="2"/>
        <v>0</v>
      </c>
      <c r="L194" t="s">
        <v>60</v>
      </c>
    </row>
    <row r="195" spans="1:12">
      <c r="A195">
        <v>1964</v>
      </c>
      <c r="B195">
        <v>291</v>
      </c>
      <c r="C195">
        <v>29588</v>
      </c>
      <c r="D195">
        <v>27433</v>
      </c>
      <c r="E195">
        <v>663</v>
      </c>
      <c r="F195">
        <v>1491</v>
      </c>
      <c r="G195">
        <v>0</v>
      </c>
      <c r="H195">
        <v>29542</v>
      </c>
      <c r="I195">
        <v>46</v>
      </c>
      <c r="J195">
        <v>0</v>
      </c>
      <c r="K195">
        <f t="shared" ref="K195:K244" si="3">100*(J195/SUM(G195:J195))</f>
        <v>0</v>
      </c>
      <c r="L195" t="s">
        <v>60</v>
      </c>
    </row>
    <row r="196" spans="1:12">
      <c r="A196">
        <v>1965</v>
      </c>
      <c r="B196">
        <v>374</v>
      </c>
      <c r="C196">
        <v>37112</v>
      </c>
      <c r="D196">
        <v>36340</v>
      </c>
      <c r="E196">
        <v>111</v>
      </c>
      <c r="F196">
        <v>660</v>
      </c>
      <c r="G196">
        <v>0</v>
      </c>
      <c r="H196">
        <v>37112</v>
      </c>
      <c r="I196">
        <v>0</v>
      </c>
      <c r="J196">
        <v>0</v>
      </c>
      <c r="K196">
        <f t="shared" si="3"/>
        <v>0</v>
      </c>
      <c r="L196" t="s">
        <v>60</v>
      </c>
    </row>
    <row r="197" spans="1:12">
      <c r="A197">
        <v>1966</v>
      </c>
      <c r="B197">
        <v>64</v>
      </c>
      <c r="C197">
        <v>6154</v>
      </c>
      <c r="D197">
        <v>5466</v>
      </c>
      <c r="E197">
        <v>199</v>
      </c>
      <c r="F197">
        <v>490</v>
      </c>
      <c r="G197">
        <v>0</v>
      </c>
      <c r="H197">
        <v>6154</v>
      </c>
      <c r="I197">
        <v>0</v>
      </c>
      <c r="J197">
        <v>0</v>
      </c>
      <c r="K197">
        <f t="shared" si="3"/>
        <v>0</v>
      </c>
      <c r="L197" t="s">
        <v>60</v>
      </c>
    </row>
    <row r="198" spans="1:12">
      <c r="A198">
        <v>1967</v>
      </c>
      <c r="B198">
        <v>13</v>
      </c>
      <c r="C198">
        <v>219</v>
      </c>
      <c r="D198">
        <v>161</v>
      </c>
      <c r="E198">
        <v>58</v>
      </c>
      <c r="F198">
        <v>0</v>
      </c>
      <c r="G198">
        <v>0</v>
      </c>
      <c r="H198">
        <v>219</v>
      </c>
      <c r="I198">
        <v>0</v>
      </c>
      <c r="J198">
        <v>0</v>
      </c>
      <c r="K198">
        <f t="shared" si="3"/>
        <v>0</v>
      </c>
      <c r="L198" t="s">
        <v>60</v>
      </c>
    </row>
    <row r="199" spans="1:12">
      <c r="A199">
        <v>1968</v>
      </c>
      <c r="B199">
        <v>2</v>
      </c>
      <c r="C199">
        <v>80</v>
      </c>
      <c r="D199">
        <v>80</v>
      </c>
      <c r="E199">
        <v>0</v>
      </c>
      <c r="F199">
        <v>0</v>
      </c>
      <c r="G199">
        <v>0</v>
      </c>
      <c r="H199">
        <v>80</v>
      </c>
      <c r="I199">
        <v>0</v>
      </c>
      <c r="J199">
        <v>0</v>
      </c>
      <c r="K199">
        <f t="shared" si="3"/>
        <v>0</v>
      </c>
      <c r="L199" t="s">
        <v>60</v>
      </c>
    </row>
    <row r="200" spans="1:12">
      <c r="A200">
        <v>1969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e">
        <f t="shared" si="3"/>
        <v>#DIV/0!</v>
      </c>
      <c r="L200" t="s">
        <v>60</v>
      </c>
    </row>
    <row r="201" spans="1:12">
      <c r="A201">
        <v>1970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e">
        <f t="shared" si="3"/>
        <v>#DIV/0!</v>
      </c>
      <c r="L201" t="s">
        <v>60</v>
      </c>
    </row>
    <row r="202" spans="1:12">
      <c r="A202">
        <v>1971</v>
      </c>
      <c r="B202">
        <v>36</v>
      </c>
      <c r="C202">
        <v>446</v>
      </c>
      <c r="D202">
        <v>102</v>
      </c>
      <c r="E202">
        <v>344</v>
      </c>
      <c r="F202">
        <v>0</v>
      </c>
      <c r="G202">
        <v>0</v>
      </c>
      <c r="H202">
        <v>446</v>
      </c>
      <c r="I202">
        <v>0</v>
      </c>
      <c r="J202">
        <v>0</v>
      </c>
      <c r="K202">
        <f t="shared" si="3"/>
        <v>0</v>
      </c>
      <c r="L202" t="s">
        <v>60</v>
      </c>
    </row>
    <row r="203" spans="1:12">
      <c r="A203">
        <v>1972</v>
      </c>
      <c r="B203">
        <v>45</v>
      </c>
      <c r="C203">
        <v>3533</v>
      </c>
      <c r="D203">
        <v>3533</v>
      </c>
      <c r="E203">
        <v>0</v>
      </c>
      <c r="F203">
        <v>0</v>
      </c>
      <c r="G203">
        <v>0</v>
      </c>
      <c r="H203">
        <v>3533</v>
      </c>
      <c r="I203">
        <v>0</v>
      </c>
      <c r="J203">
        <v>0</v>
      </c>
      <c r="K203">
        <f t="shared" si="3"/>
        <v>0</v>
      </c>
      <c r="L203" t="s">
        <v>60</v>
      </c>
    </row>
    <row r="204" spans="1:12">
      <c r="A204">
        <v>1973</v>
      </c>
      <c r="B204">
        <v>111</v>
      </c>
      <c r="C204">
        <v>7798</v>
      </c>
      <c r="D204">
        <v>7509</v>
      </c>
      <c r="E204">
        <v>290</v>
      </c>
      <c r="F204">
        <v>0</v>
      </c>
      <c r="G204">
        <v>0</v>
      </c>
      <c r="H204">
        <v>7798</v>
      </c>
      <c r="I204">
        <v>0</v>
      </c>
      <c r="J204">
        <v>0</v>
      </c>
      <c r="K204">
        <f t="shared" si="3"/>
        <v>0</v>
      </c>
      <c r="L204" t="s">
        <v>60</v>
      </c>
    </row>
    <row r="205" spans="1:12">
      <c r="A205">
        <v>1974</v>
      </c>
      <c r="B205">
        <v>154</v>
      </c>
      <c r="C205">
        <v>6767</v>
      </c>
      <c r="D205">
        <v>6654</v>
      </c>
      <c r="E205">
        <v>113</v>
      </c>
      <c r="F205">
        <v>0</v>
      </c>
      <c r="G205">
        <v>127</v>
      </c>
      <c r="H205">
        <v>6640</v>
      </c>
      <c r="I205">
        <v>0</v>
      </c>
      <c r="J205">
        <v>0</v>
      </c>
      <c r="K205">
        <f t="shared" si="3"/>
        <v>0</v>
      </c>
      <c r="L205" t="s">
        <v>60</v>
      </c>
    </row>
    <row r="206" spans="1:12">
      <c r="A206">
        <v>1975</v>
      </c>
      <c r="B206">
        <v>132</v>
      </c>
      <c r="C206">
        <v>6246</v>
      </c>
      <c r="D206">
        <v>6229</v>
      </c>
      <c r="E206">
        <v>17</v>
      </c>
      <c r="F206">
        <v>0</v>
      </c>
      <c r="G206">
        <v>105</v>
      </c>
      <c r="H206">
        <v>6005</v>
      </c>
      <c r="I206">
        <v>0</v>
      </c>
      <c r="J206">
        <v>136</v>
      </c>
      <c r="K206">
        <f t="shared" si="3"/>
        <v>2.1773935318603903</v>
      </c>
      <c r="L206" t="s">
        <v>60</v>
      </c>
    </row>
    <row r="207" spans="1:12">
      <c r="A207">
        <v>1976</v>
      </c>
      <c r="B207">
        <v>652</v>
      </c>
      <c r="C207">
        <v>12239</v>
      </c>
      <c r="D207">
        <v>11731</v>
      </c>
      <c r="E207">
        <v>508</v>
      </c>
      <c r="F207">
        <v>0</v>
      </c>
      <c r="G207">
        <v>1466</v>
      </c>
      <c r="H207">
        <v>10433</v>
      </c>
      <c r="I207">
        <v>0</v>
      </c>
      <c r="J207">
        <v>341</v>
      </c>
      <c r="K207">
        <f t="shared" si="3"/>
        <v>2.785947712418301</v>
      </c>
      <c r="L207" t="s">
        <v>60</v>
      </c>
    </row>
    <row r="208" spans="1:12">
      <c r="A208">
        <v>1977</v>
      </c>
      <c r="B208">
        <v>565</v>
      </c>
      <c r="C208">
        <v>11345</v>
      </c>
      <c r="D208">
        <v>11258</v>
      </c>
      <c r="E208">
        <v>87</v>
      </c>
      <c r="F208">
        <v>0</v>
      </c>
      <c r="G208">
        <v>1506</v>
      </c>
      <c r="H208">
        <v>8699</v>
      </c>
      <c r="I208">
        <v>0</v>
      </c>
      <c r="J208">
        <v>1140</v>
      </c>
      <c r="K208">
        <f t="shared" si="3"/>
        <v>10.04847950639048</v>
      </c>
      <c r="L208" t="s">
        <v>60</v>
      </c>
    </row>
    <row r="209" spans="1:12">
      <c r="A209">
        <v>1978</v>
      </c>
      <c r="B209">
        <v>822</v>
      </c>
      <c r="C209">
        <v>10629</v>
      </c>
      <c r="D209">
        <v>10513</v>
      </c>
      <c r="E209">
        <v>0</v>
      </c>
      <c r="F209">
        <v>116</v>
      </c>
      <c r="G209">
        <v>2046</v>
      </c>
      <c r="H209">
        <v>7517</v>
      </c>
      <c r="I209">
        <v>65</v>
      </c>
      <c r="J209">
        <v>1001</v>
      </c>
      <c r="K209">
        <f t="shared" si="3"/>
        <v>9.4176310095023048</v>
      </c>
      <c r="L209" t="s">
        <v>60</v>
      </c>
    </row>
    <row r="210" spans="1:12">
      <c r="A210">
        <v>1979</v>
      </c>
      <c r="B210">
        <v>1156</v>
      </c>
      <c r="C210">
        <v>9103</v>
      </c>
      <c r="D210">
        <v>8969</v>
      </c>
      <c r="E210">
        <v>134</v>
      </c>
      <c r="F210">
        <v>0</v>
      </c>
      <c r="G210">
        <v>2081</v>
      </c>
      <c r="H210">
        <v>6020</v>
      </c>
      <c r="I210">
        <v>0</v>
      </c>
      <c r="J210">
        <v>1001</v>
      </c>
      <c r="K210">
        <f t="shared" si="3"/>
        <v>10.99758294880246</v>
      </c>
      <c r="L210" t="s">
        <v>60</v>
      </c>
    </row>
    <row r="211" spans="1:12">
      <c r="A211">
        <v>1980</v>
      </c>
      <c r="B211">
        <v>408</v>
      </c>
      <c r="C211">
        <v>3312</v>
      </c>
      <c r="D211">
        <v>3273</v>
      </c>
      <c r="E211">
        <v>38</v>
      </c>
      <c r="F211">
        <v>0</v>
      </c>
      <c r="G211">
        <v>959</v>
      </c>
      <c r="H211">
        <v>1352</v>
      </c>
      <c r="I211">
        <v>0</v>
      </c>
      <c r="J211">
        <v>1001</v>
      </c>
      <c r="K211">
        <f t="shared" si="3"/>
        <v>30.223429951690822</v>
      </c>
      <c r="L211" t="s">
        <v>60</v>
      </c>
    </row>
    <row r="212" spans="1:12">
      <c r="A212">
        <v>1981</v>
      </c>
      <c r="B212">
        <v>783</v>
      </c>
      <c r="C212">
        <v>6614</v>
      </c>
      <c r="D212">
        <v>6509</v>
      </c>
      <c r="E212">
        <v>105</v>
      </c>
      <c r="F212">
        <v>0</v>
      </c>
      <c r="G212">
        <v>1712</v>
      </c>
      <c r="H212">
        <v>3992</v>
      </c>
      <c r="I212">
        <v>0</v>
      </c>
      <c r="J212">
        <v>910</v>
      </c>
      <c r="K212">
        <f t="shared" si="3"/>
        <v>13.758693680072573</v>
      </c>
      <c r="L212" t="s">
        <v>60</v>
      </c>
    </row>
    <row r="213" spans="1:12">
      <c r="A213">
        <v>1982</v>
      </c>
      <c r="B213">
        <v>574</v>
      </c>
      <c r="C213">
        <v>5109</v>
      </c>
      <c r="D213">
        <v>5051</v>
      </c>
      <c r="E213">
        <v>57</v>
      </c>
      <c r="F213">
        <v>0</v>
      </c>
      <c r="G213">
        <v>1405</v>
      </c>
      <c r="H213">
        <v>2702</v>
      </c>
      <c r="I213">
        <v>0</v>
      </c>
      <c r="J213">
        <v>1001</v>
      </c>
      <c r="K213">
        <f t="shared" si="3"/>
        <v>19.596711041503521</v>
      </c>
      <c r="L213" t="s">
        <v>60</v>
      </c>
    </row>
    <row r="214" spans="1:12">
      <c r="A214">
        <v>1983</v>
      </c>
      <c r="B214">
        <v>383</v>
      </c>
      <c r="C214">
        <v>6647</v>
      </c>
      <c r="D214">
        <v>6580</v>
      </c>
      <c r="E214">
        <v>67</v>
      </c>
      <c r="F214">
        <v>0</v>
      </c>
      <c r="G214">
        <v>928</v>
      </c>
      <c r="H214">
        <v>4718</v>
      </c>
      <c r="I214">
        <v>0</v>
      </c>
      <c r="J214">
        <v>1001</v>
      </c>
      <c r="K214">
        <f t="shared" si="3"/>
        <v>15.059425304648713</v>
      </c>
      <c r="L214" t="s">
        <v>60</v>
      </c>
    </row>
    <row r="215" spans="1:12">
      <c r="A215">
        <v>1984</v>
      </c>
      <c r="B215">
        <v>398</v>
      </c>
      <c r="C215">
        <v>6123</v>
      </c>
      <c r="D215">
        <v>6046</v>
      </c>
      <c r="E215">
        <v>78</v>
      </c>
      <c r="F215">
        <v>0</v>
      </c>
      <c r="G215">
        <v>534</v>
      </c>
      <c r="H215">
        <v>4588</v>
      </c>
      <c r="I215">
        <v>0</v>
      </c>
      <c r="J215">
        <v>1001</v>
      </c>
      <c r="K215">
        <f t="shared" si="3"/>
        <v>16.348195329087048</v>
      </c>
      <c r="L215" t="s">
        <v>60</v>
      </c>
    </row>
    <row r="216" spans="1:12">
      <c r="A216">
        <v>1985</v>
      </c>
      <c r="B216">
        <v>412</v>
      </c>
      <c r="C216">
        <v>7192</v>
      </c>
      <c r="D216">
        <v>7143</v>
      </c>
      <c r="E216">
        <v>48</v>
      </c>
      <c r="F216">
        <v>0</v>
      </c>
      <c r="G216">
        <v>1492</v>
      </c>
      <c r="H216">
        <v>4699</v>
      </c>
      <c r="I216">
        <v>0</v>
      </c>
      <c r="J216">
        <v>1001</v>
      </c>
      <c r="K216">
        <f t="shared" si="3"/>
        <v>13.918242491657399</v>
      </c>
      <c r="L216" t="s">
        <v>60</v>
      </c>
    </row>
    <row r="217" spans="1:12">
      <c r="A217">
        <v>1986</v>
      </c>
      <c r="B217">
        <v>263</v>
      </c>
      <c r="C217">
        <v>4357</v>
      </c>
      <c r="D217">
        <v>4313</v>
      </c>
      <c r="E217">
        <v>44</v>
      </c>
      <c r="F217">
        <v>0</v>
      </c>
      <c r="G217">
        <v>889</v>
      </c>
      <c r="H217">
        <v>2716</v>
      </c>
      <c r="I217">
        <v>0</v>
      </c>
      <c r="J217">
        <v>751</v>
      </c>
      <c r="K217">
        <f t="shared" si="3"/>
        <v>17.240587695133151</v>
      </c>
      <c r="L217" t="s">
        <v>60</v>
      </c>
    </row>
    <row r="218" spans="1:12">
      <c r="A218">
        <v>1987</v>
      </c>
      <c r="B218">
        <v>64</v>
      </c>
      <c r="C218">
        <v>3110</v>
      </c>
      <c r="D218">
        <v>3029</v>
      </c>
      <c r="E218">
        <v>81</v>
      </c>
      <c r="F218">
        <v>0</v>
      </c>
      <c r="G218">
        <v>0</v>
      </c>
      <c r="H218">
        <v>2109</v>
      </c>
      <c r="I218">
        <v>0</v>
      </c>
      <c r="J218">
        <v>1001</v>
      </c>
      <c r="K218" s="10">
        <f t="shared" si="3"/>
        <v>32.186495176848872</v>
      </c>
      <c r="L218" t="s">
        <v>60</v>
      </c>
    </row>
    <row r="219" spans="1:12">
      <c r="A219">
        <v>1988</v>
      </c>
      <c r="B219">
        <v>19</v>
      </c>
      <c r="C219">
        <v>1360</v>
      </c>
      <c r="D219">
        <v>1281</v>
      </c>
      <c r="E219">
        <v>79</v>
      </c>
      <c r="F219">
        <v>0</v>
      </c>
      <c r="G219">
        <v>0</v>
      </c>
      <c r="H219">
        <v>360</v>
      </c>
      <c r="I219">
        <v>0</v>
      </c>
      <c r="J219">
        <v>1000</v>
      </c>
      <c r="K219" s="10">
        <f t="shared" si="3"/>
        <v>73.529411764705884</v>
      </c>
      <c r="L219" t="s">
        <v>60</v>
      </c>
    </row>
    <row r="220" spans="1:12">
      <c r="A220">
        <v>1989</v>
      </c>
      <c r="B220">
        <v>9</v>
      </c>
      <c r="C220">
        <v>866</v>
      </c>
      <c r="D220">
        <v>853</v>
      </c>
      <c r="E220">
        <v>13</v>
      </c>
      <c r="F220">
        <v>0</v>
      </c>
      <c r="G220">
        <v>0</v>
      </c>
      <c r="H220">
        <v>42</v>
      </c>
      <c r="I220">
        <v>0</v>
      </c>
      <c r="J220">
        <v>824</v>
      </c>
      <c r="K220">
        <f t="shared" si="3"/>
        <v>95.150115473441105</v>
      </c>
      <c r="L220" t="s">
        <v>60</v>
      </c>
    </row>
    <row r="221" spans="1:12">
      <c r="A221">
        <v>1990</v>
      </c>
      <c r="B221">
        <v>176</v>
      </c>
      <c r="C221">
        <v>2376</v>
      </c>
      <c r="D221">
        <v>2376</v>
      </c>
      <c r="E221">
        <v>0</v>
      </c>
      <c r="F221">
        <v>0</v>
      </c>
      <c r="G221">
        <v>1169</v>
      </c>
      <c r="H221">
        <v>292</v>
      </c>
      <c r="I221">
        <v>0</v>
      </c>
      <c r="J221">
        <v>915</v>
      </c>
      <c r="K221">
        <f t="shared" si="3"/>
        <v>38.51010101010101</v>
      </c>
      <c r="L221" t="s">
        <v>60</v>
      </c>
    </row>
    <row r="222" spans="1:12">
      <c r="A222">
        <v>1991</v>
      </c>
      <c r="B222">
        <v>134</v>
      </c>
      <c r="C222">
        <v>5442</v>
      </c>
      <c r="D222">
        <v>5442</v>
      </c>
      <c r="E222">
        <v>0</v>
      </c>
      <c r="F222">
        <v>0</v>
      </c>
      <c r="G222">
        <v>543</v>
      </c>
      <c r="H222">
        <v>3899</v>
      </c>
      <c r="I222">
        <v>0</v>
      </c>
      <c r="J222">
        <v>1001</v>
      </c>
      <c r="K222">
        <f t="shared" si="3"/>
        <v>18.390593422744811</v>
      </c>
      <c r="L222" t="s">
        <v>60</v>
      </c>
    </row>
    <row r="223" spans="1:12">
      <c r="A223">
        <v>1992</v>
      </c>
      <c r="B223">
        <v>2</v>
      </c>
      <c r="C223">
        <v>919</v>
      </c>
      <c r="D223">
        <v>919</v>
      </c>
      <c r="E223">
        <v>0</v>
      </c>
      <c r="F223">
        <v>0</v>
      </c>
      <c r="G223">
        <v>0</v>
      </c>
      <c r="H223">
        <v>63</v>
      </c>
      <c r="I223">
        <v>0</v>
      </c>
      <c r="J223">
        <v>856</v>
      </c>
      <c r="K223">
        <f t="shared" si="3"/>
        <v>93.144722524483143</v>
      </c>
      <c r="L223" t="s">
        <v>60</v>
      </c>
    </row>
    <row r="224" spans="1:12">
      <c r="A224">
        <v>1993</v>
      </c>
      <c r="B224">
        <v>57</v>
      </c>
      <c r="C224">
        <v>3584</v>
      </c>
      <c r="D224">
        <v>3582</v>
      </c>
      <c r="E224">
        <v>2</v>
      </c>
      <c r="F224">
        <v>0</v>
      </c>
      <c r="G224">
        <v>0</v>
      </c>
      <c r="H224">
        <v>2701</v>
      </c>
      <c r="I224">
        <v>0</v>
      </c>
      <c r="J224">
        <v>883</v>
      </c>
      <c r="K224">
        <f t="shared" si="3"/>
        <v>24.637276785714285</v>
      </c>
      <c r="L224" t="s">
        <v>60</v>
      </c>
    </row>
    <row r="225" spans="1:12">
      <c r="A225">
        <v>1994</v>
      </c>
      <c r="B225">
        <v>10</v>
      </c>
      <c r="C225">
        <v>1301</v>
      </c>
      <c r="D225">
        <v>1300</v>
      </c>
      <c r="E225">
        <v>1</v>
      </c>
      <c r="F225">
        <v>0</v>
      </c>
      <c r="G225">
        <v>0</v>
      </c>
      <c r="H225">
        <v>300</v>
      </c>
      <c r="I225">
        <v>0</v>
      </c>
      <c r="J225">
        <v>1001</v>
      </c>
      <c r="K225">
        <f t="shared" si="3"/>
        <v>76.940814757878556</v>
      </c>
      <c r="L225" t="s">
        <v>60</v>
      </c>
    </row>
    <row r="226" spans="1:12">
      <c r="A226">
        <v>1995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e">
        <f t="shared" si="3"/>
        <v>#DIV/0!</v>
      </c>
      <c r="L226" t="s">
        <v>60</v>
      </c>
    </row>
    <row r="227" spans="1:12">
      <c r="A227">
        <v>1996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e">
        <f t="shared" si="3"/>
        <v>#DIV/0!</v>
      </c>
      <c r="L227" t="s">
        <v>60</v>
      </c>
    </row>
    <row r="228" spans="1:12">
      <c r="A228">
        <v>1997</v>
      </c>
      <c r="B228">
        <v>1</v>
      </c>
      <c r="C228">
        <v>214</v>
      </c>
      <c r="D228">
        <v>214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214</v>
      </c>
      <c r="K228">
        <f t="shared" si="3"/>
        <v>100</v>
      </c>
      <c r="L228" t="s">
        <v>60</v>
      </c>
    </row>
    <row r="229" spans="1:12">
      <c r="A229">
        <v>1998</v>
      </c>
      <c r="B229">
        <v>3</v>
      </c>
      <c r="C229">
        <v>2053</v>
      </c>
      <c r="D229">
        <v>2053</v>
      </c>
      <c r="E229">
        <v>0</v>
      </c>
      <c r="F229">
        <v>0</v>
      </c>
      <c r="G229">
        <v>0</v>
      </c>
      <c r="H229">
        <v>1371</v>
      </c>
      <c r="I229">
        <v>0</v>
      </c>
      <c r="J229">
        <v>682</v>
      </c>
      <c r="K229">
        <f t="shared" si="3"/>
        <v>33.219678519240134</v>
      </c>
      <c r="L229" t="s">
        <v>60</v>
      </c>
    </row>
    <row r="230" spans="1:12">
      <c r="A230">
        <v>1999</v>
      </c>
      <c r="B230">
        <v>5</v>
      </c>
      <c r="C230">
        <v>3797</v>
      </c>
      <c r="D230">
        <v>3797</v>
      </c>
      <c r="E230">
        <v>0</v>
      </c>
      <c r="F230">
        <v>0</v>
      </c>
      <c r="G230">
        <v>485</v>
      </c>
      <c r="H230">
        <v>2493</v>
      </c>
      <c r="I230">
        <v>0</v>
      </c>
      <c r="J230">
        <v>819</v>
      </c>
      <c r="K230">
        <f t="shared" si="3"/>
        <v>21.569660258098502</v>
      </c>
      <c r="L230" t="s">
        <v>60</v>
      </c>
    </row>
    <row r="231" spans="1:12">
      <c r="A231">
        <v>2000</v>
      </c>
      <c r="B231">
        <v>4</v>
      </c>
      <c r="C231">
        <v>2675</v>
      </c>
      <c r="D231">
        <v>2675</v>
      </c>
      <c r="E231">
        <v>0</v>
      </c>
      <c r="F231">
        <v>0</v>
      </c>
      <c r="G231">
        <v>0</v>
      </c>
      <c r="H231">
        <v>1765</v>
      </c>
      <c r="I231">
        <v>0</v>
      </c>
      <c r="J231">
        <v>910</v>
      </c>
      <c r="K231">
        <f t="shared" si="3"/>
        <v>34.018691588785046</v>
      </c>
      <c r="L231" t="s">
        <v>60</v>
      </c>
    </row>
    <row r="232" spans="1:12">
      <c r="A232">
        <v>2001</v>
      </c>
      <c r="B232">
        <v>1</v>
      </c>
      <c r="C232">
        <v>408</v>
      </c>
      <c r="D232">
        <v>408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408</v>
      </c>
      <c r="K232">
        <f t="shared" si="3"/>
        <v>100</v>
      </c>
      <c r="L232" t="s">
        <v>60</v>
      </c>
    </row>
    <row r="233" spans="1:12">
      <c r="A233">
        <v>2002</v>
      </c>
      <c r="B233">
        <v>3</v>
      </c>
      <c r="C233">
        <v>1616</v>
      </c>
      <c r="D233">
        <v>1616</v>
      </c>
      <c r="E233">
        <v>0</v>
      </c>
      <c r="F233">
        <v>0</v>
      </c>
      <c r="G233">
        <v>0</v>
      </c>
      <c r="H233">
        <v>706</v>
      </c>
      <c r="I233">
        <v>0</v>
      </c>
      <c r="J233">
        <v>910</v>
      </c>
      <c r="K233">
        <f t="shared" si="3"/>
        <v>56.311881188118804</v>
      </c>
      <c r="L233" t="s">
        <v>60</v>
      </c>
    </row>
    <row r="234" spans="1:12">
      <c r="A234">
        <v>2003</v>
      </c>
      <c r="B234">
        <v>1</v>
      </c>
      <c r="C234">
        <v>910</v>
      </c>
      <c r="D234">
        <v>910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910</v>
      </c>
      <c r="K234">
        <f t="shared" si="3"/>
        <v>100</v>
      </c>
      <c r="L234" t="s">
        <v>60</v>
      </c>
    </row>
    <row r="235" spans="1:12">
      <c r="A235">
        <v>2004</v>
      </c>
      <c r="B235">
        <v>1</v>
      </c>
      <c r="C235">
        <v>910</v>
      </c>
      <c r="D235">
        <v>910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910</v>
      </c>
      <c r="K235">
        <f t="shared" si="3"/>
        <v>100</v>
      </c>
      <c r="L235" t="s">
        <v>60</v>
      </c>
    </row>
    <row r="236" spans="1:12">
      <c r="A236">
        <v>2005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e">
        <f t="shared" si="3"/>
        <v>#DIV/0!</v>
      </c>
      <c r="L236" t="s">
        <v>60</v>
      </c>
    </row>
    <row r="237" spans="1:12">
      <c r="A237">
        <v>2006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e">
        <f t="shared" si="3"/>
        <v>#DIV/0!</v>
      </c>
      <c r="L237" t="s">
        <v>60</v>
      </c>
    </row>
    <row r="238" spans="1:12">
      <c r="A238">
        <v>2007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e">
        <f t="shared" si="3"/>
        <v>#DIV/0!</v>
      </c>
      <c r="L238" t="s">
        <v>60</v>
      </c>
    </row>
    <row r="239" spans="1:12">
      <c r="A239">
        <v>2008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e">
        <f t="shared" si="3"/>
        <v>#DIV/0!</v>
      </c>
      <c r="L239" t="s">
        <v>60</v>
      </c>
    </row>
    <row r="240" spans="1:12">
      <c r="A240">
        <v>2009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e">
        <f t="shared" si="3"/>
        <v>#DIV/0!</v>
      </c>
      <c r="L240" t="s">
        <v>60</v>
      </c>
    </row>
    <row r="241" spans="1:12">
      <c r="A241">
        <v>2010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e">
        <f t="shared" si="3"/>
        <v>#DIV/0!</v>
      </c>
      <c r="L241" t="s">
        <v>60</v>
      </c>
    </row>
    <row r="242" spans="1:12">
      <c r="A242">
        <v>2011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e">
        <f t="shared" si="3"/>
        <v>#DIV/0!</v>
      </c>
      <c r="L242" t="s">
        <v>60</v>
      </c>
    </row>
    <row r="243" spans="1:12">
      <c r="A243">
        <v>2012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e">
        <f t="shared" si="3"/>
        <v>#DIV/0!</v>
      </c>
      <c r="L243" t="s">
        <v>60</v>
      </c>
    </row>
    <row r="244" spans="1:12">
      <c r="A244">
        <v>2013</v>
      </c>
      <c r="B244">
        <v>1</v>
      </c>
      <c r="C244">
        <v>182</v>
      </c>
      <c r="D244">
        <v>182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182</v>
      </c>
      <c r="K244">
        <f t="shared" si="3"/>
        <v>100</v>
      </c>
      <c r="L244" t="s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 Data</vt:lpstr>
      <vt:lpstr>Spawn_All_Sections</vt:lpstr>
      <vt:lpstr>Catch Data for 3 major stocks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Stier</cp:lastModifiedBy>
  <dcterms:created xsi:type="dcterms:W3CDTF">2014-05-28T17:45:41Z</dcterms:created>
  <dcterms:modified xsi:type="dcterms:W3CDTF">2014-05-29T20:15:10Z</dcterms:modified>
</cp:coreProperties>
</file>